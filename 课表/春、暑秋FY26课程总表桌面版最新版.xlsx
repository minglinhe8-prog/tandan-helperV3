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 tabRatio="736" firstSheet="13" activeTab="19"/>
  </bookViews>
  <sheets>
    <sheet name="高二暑秋" sheetId="7" state="hidden" r:id="rId1"/>
    <sheet name="高考暑秋" sheetId="8" state="hidden" r:id="rId2"/>
    <sheet name="初2，3" sheetId="9" state="hidden" r:id="rId3"/>
    <sheet name="新高一" sheetId="3" state="hidden" r:id="rId4"/>
    <sheet name="初一素养" sheetId="2" state="hidden" r:id="rId5"/>
    <sheet name="初一寒春" sheetId="12" state="hidden" r:id="rId6"/>
    <sheet name="初二寒春" sheetId="13" state="hidden" r:id="rId7"/>
    <sheet name="初三寒春" sheetId="14" state="hidden" r:id="rId8"/>
    <sheet name="FY261暑秋" sheetId="15" state="hidden" r:id="rId9"/>
    <sheet name="Sheet1" sheetId="18" state="hidden" r:id="rId10"/>
    <sheet name="初二暑秋" sheetId="16" state="hidden" r:id="rId11"/>
    <sheet name="初三暑秋" sheetId="17" state="hidden" r:id="rId12"/>
    <sheet name="FY261初一寒春" sheetId="47" r:id="rId13"/>
    <sheet name="FY262初二寒春" sheetId="37" r:id="rId14"/>
    <sheet name="FY263初三寒春" sheetId="38" r:id="rId15"/>
    <sheet name="FY271CY寒假班" sheetId="39" r:id="rId16"/>
    <sheet name="南沙" sheetId="40" state="hidden" r:id="rId17"/>
    <sheet name="27新初一暑假" sheetId="41" r:id="rId18"/>
    <sheet name="27新初二暑假" sheetId="43" r:id="rId19"/>
    <sheet name="27新初三暑假" sheetId="44" r:id="rId20"/>
    <sheet name="打印" sheetId="48" r:id="rId21"/>
  </sheets>
  <definedNames>
    <definedName name="_xlnm._FilterDatabase" localSheetId="2" hidden="1">'初2，3'!$A$3:$I$33</definedName>
    <definedName name="_xlnm._FilterDatabase" localSheetId="4" hidden="1">初一素养!$A$3:$I$40</definedName>
    <definedName name="_xlnm._FilterDatabase" localSheetId="0" hidden="1">高二暑秋!$A$2:$H$15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7A9592065B254F2FB334F4FDFD5A87F0" descr="企业微信二维码"/>
        <xdr:cNvPicPr/>
      </xdr:nvPicPr>
      <xdr:blipFill>
        <a:blip r:embed="rId1"/>
        <a:stretch>
          <a:fillRect/>
        </a:stretch>
      </xdr:blipFill>
      <xdr:spPr>
        <a:xfrm>
          <a:off x="0" y="0"/>
          <a:ext cx="2333625" cy="2371725"/>
        </a:xfrm>
        <a:prstGeom prst="rect">
          <a:avLst/>
        </a:prstGeom>
      </xdr:spPr>
    </xdr:pic>
  </etc:cellImage>
  <etc:cellImage>
    <xdr:pic>
      <xdr:nvPicPr>
        <xdr:cNvPr id="3" name="ID_BA2870EBEA52492C9B7D35B01E991D30" descr="企业微信二维码"/>
        <xdr:cNvPicPr/>
      </xdr:nvPicPr>
      <xdr:blipFill>
        <a:blip r:embed="rId1"/>
        <a:stretch>
          <a:fillRect/>
        </a:stretch>
      </xdr:blipFill>
      <xdr:spPr>
        <a:xfrm>
          <a:off x="0" y="0"/>
          <a:ext cx="2333625" cy="2371725"/>
        </a:xfrm>
        <a:prstGeom prst="rect">
          <a:avLst/>
        </a:prstGeom>
      </xdr:spPr>
    </xdr:pic>
  </etc:cellImage>
  <etc:cellImage>
    <xdr:pic>
      <xdr:nvPicPr>
        <xdr:cNvPr id="13" name="ID_4581140CE7BD4BC9B4570E26F65AC3DF" descr="企业微信二维码"/>
        <xdr:cNvPicPr/>
      </xdr:nvPicPr>
      <xdr:blipFill>
        <a:blip r:embed="rId1"/>
        <a:stretch>
          <a:fillRect/>
        </a:stretch>
      </xdr:blipFill>
      <xdr:spPr>
        <a:xfrm>
          <a:off x="0" y="0"/>
          <a:ext cx="2333625" cy="2371725"/>
        </a:xfrm>
        <a:prstGeom prst="rect">
          <a:avLst/>
        </a:prstGeom>
      </xdr:spPr>
    </xdr:pic>
  </etc:cellImage>
  <etc:cellImage>
    <xdr:pic>
      <xdr:nvPicPr>
        <xdr:cNvPr id="14" name="ID_3250841866864EFDAD7F3EA655907C5D" descr="企业微信二维码"/>
        <xdr:cNvPicPr/>
      </xdr:nvPicPr>
      <xdr:blipFill>
        <a:blip r:embed="rId1"/>
        <a:stretch>
          <a:fillRect/>
        </a:stretch>
      </xdr:blipFill>
      <xdr:spPr>
        <a:xfrm>
          <a:off x="0" y="0"/>
          <a:ext cx="2333625" cy="2371725"/>
        </a:xfrm>
        <a:prstGeom prst="rect">
          <a:avLst/>
        </a:prstGeom>
      </xdr:spPr>
    </xdr:pic>
  </etc:cellImage>
  <etc:cellImage>
    <xdr:pic>
      <xdr:nvPicPr>
        <xdr:cNvPr id="15" name="ID_E8795C3207F04CF08A375C9E5F18622A" descr="企业微信二维码"/>
        <xdr:cNvPicPr/>
      </xdr:nvPicPr>
      <xdr:blipFill>
        <a:blip r:embed="rId1"/>
        <a:stretch>
          <a:fillRect/>
        </a:stretch>
      </xdr:blipFill>
      <xdr:spPr>
        <a:xfrm>
          <a:off x="0" y="0"/>
          <a:ext cx="2333625" cy="2371725"/>
        </a:xfrm>
        <a:prstGeom prst="rect">
          <a:avLst/>
        </a:prstGeom>
      </xdr:spPr>
    </xdr:pic>
  </etc:cellImage>
  <etc:cellImage>
    <xdr:pic>
      <xdr:nvPicPr>
        <xdr:cNvPr id="17" name="ID_DB4583B9BA054F9A9522B5EEBD13BD06" descr="企业微信二维码"/>
        <xdr:cNvPicPr/>
      </xdr:nvPicPr>
      <xdr:blipFill>
        <a:blip r:embed="rId1"/>
        <a:stretch>
          <a:fillRect/>
        </a:stretch>
      </xdr:blipFill>
      <xdr:spPr>
        <a:xfrm>
          <a:off x="0" y="0"/>
          <a:ext cx="2333625" cy="23717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<sst xmlns="http://schemas.openxmlformats.org/spreadsheetml/2006/main" count="1614" uniqueCount="872">
  <si>
    <t>市桥校区 高二暑假秋季时间表</t>
  </si>
  <si>
    <t>课程
咨询
微信</t>
  </si>
  <si>
    <t>校区地址：市桥街繁华路59号二层（番禺友谊商店对面）
                 地铁 3号线 市桥站(C出口)   公交站 友谊大厦站</t>
  </si>
  <si>
    <t>季度</t>
  </si>
  <si>
    <t>开课日期</t>
  </si>
  <si>
    <t>班型</t>
  </si>
  <si>
    <t>8:00-10:00</t>
  </si>
  <si>
    <t>10:20-12:20</t>
  </si>
  <si>
    <t>13:40-15:40</t>
  </si>
  <si>
    <t>16:00-18:00</t>
  </si>
  <si>
    <t>18:30-20:30</t>
  </si>
  <si>
    <t>8月7日-8月19日
周一至周六</t>
  </si>
  <si>
    <t>行远班</t>
  </si>
  <si>
    <t>益智  
2GMA31022
已满班</t>
  </si>
  <si>
    <t>实验P 吕云飞
2GPA31022
已满班</t>
  </si>
  <si>
    <t>实验C 陈衡
2GCA31017
已满班</t>
  </si>
  <si>
    <t>志高班</t>
  </si>
  <si>
    <t>实验C 陈衡
2GCB31041
已满班</t>
  </si>
  <si>
    <t>实验P 李俊辉
2GPB31065
已满班</t>
  </si>
  <si>
    <t>益智  
2GMB31072
已满班</t>
  </si>
  <si>
    <t>博文  李雨景
2GWB31005</t>
  </si>
  <si>
    <t>双语  胡庭豪
2GYB31038
已满班</t>
  </si>
  <si>
    <t>益智  
2GMB31073
已满班</t>
  </si>
  <si>
    <t>秋季</t>
  </si>
  <si>
    <t>9月9日起
周六</t>
  </si>
  <si>
    <t>双语  胡庭豪
2GYA31014        已报满</t>
  </si>
  <si>
    <r>
      <rPr>
        <b/>
        <sz val="14"/>
        <color rgb="FF000000"/>
        <rFont val="微软雅黑"/>
        <charset val="134"/>
      </rPr>
      <t xml:space="preserve">益智  郑沐林
2GMA31023      </t>
    </r>
    <r>
      <rPr>
        <b/>
        <sz val="14"/>
        <color rgb="FFFF0000"/>
        <rFont val="微软雅黑"/>
        <charset val="134"/>
      </rPr>
      <t>余4</t>
    </r>
  </si>
  <si>
    <r>
      <rPr>
        <b/>
        <sz val="14"/>
        <color rgb="FF000000"/>
        <rFont val="微软雅黑"/>
        <charset val="134"/>
      </rPr>
      <t xml:space="preserve">实验P 李俊辉
2GPA31023      </t>
    </r>
    <r>
      <rPr>
        <b/>
        <sz val="14"/>
        <color rgb="FFFF0000"/>
        <rFont val="微软雅黑"/>
        <charset val="134"/>
      </rPr>
      <t>余9</t>
    </r>
  </si>
  <si>
    <t>实验C 陈衡
2GCB31042       已报满</t>
  </si>
  <si>
    <t>实验P 吕云飞
2GPB31066
已满班</t>
  </si>
  <si>
    <t>益智  汪耀辉
2GMB31074    已报满</t>
  </si>
  <si>
    <t>益智  汪耀辉
2GMB31075
已报满</t>
  </si>
  <si>
    <t>9月10日起
周日</t>
  </si>
  <si>
    <r>
      <rPr>
        <b/>
        <sz val="14"/>
        <color rgb="FF000000"/>
        <rFont val="微软雅黑"/>
        <charset val="134"/>
      </rPr>
      <t xml:space="preserve">益智  汪耀辉
2GMA31024     </t>
    </r>
    <r>
      <rPr>
        <b/>
        <sz val="14"/>
        <color rgb="FFFF0000"/>
        <rFont val="微软雅黑"/>
        <charset val="134"/>
      </rPr>
      <t>余10</t>
    </r>
  </si>
  <si>
    <t>实验P 吕云飞
2GPA31024
已满班</t>
  </si>
  <si>
    <t>实验C 陈衡
2GCA31018
已满班</t>
  </si>
  <si>
    <t>实验C 陈衡
2GCB31043     已满班</t>
  </si>
  <si>
    <t>益智  郑沐林
2GMB31076</t>
  </si>
  <si>
    <r>
      <rPr>
        <b/>
        <sz val="14"/>
        <color rgb="FF000000"/>
        <rFont val="微软雅黑"/>
        <charset val="134"/>
      </rPr>
      <t xml:space="preserve">实验P 李俊辉
2GPB31067      </t>
    </r>
    <r>
      <rPr>
        <b/>
        <sz val="14"/>
        <color rgb="FFFF0000"/>
        <rFont val="微软雅黑"/>
        <charset val="134"/>
      </rPr>
      <t>余14</t>
    </r>
  </si>
  <si>
    <r>
      <rPr>
        <b/>
        <sz val="14"/>
        <color rgb="FF000000"/>
        <rFont val="微软雅黑"/>
        <charset val="134"/>
      </rPr>
      <t xml:space="preserve">博文  李雨景
2GWB31006    </t>
    </r>
    <r>
      <rPr>
        <b/>
        <sz val="14"/>
        <color rgb="FFFF0000"/>
        <rFont val="微软雅黑"/>
        <charset val="134"/>
      </rPr>
      <t>学位紧张</t>
    </r>
  </si>
  <si>
    <r>
      <rPr>
        <b/>
        <sz val="14"/>
        <color rgb="FF000000"/>
        <rFont val="微软雅黑"/>
        <charset val="134"/>
      </rPr>
      <t xml:space="preserve">双语  胡庭豪
2GYB31040     </t>
    </r>
    <r>
      <rPr>
        <b/>
        <sz val="14"/>
        <color rgb="FFFF0000"/>
        <rFont val="微软雅黑"/>
        <charset val="134"/>
      </rPr>
      <t>余10</t>
    </r>
  </si>
  <si>
    <t>市桥校区 高三暑假秋季时间表</t>
  </si>
  <si>
    <t>秋季周六</t>
  </si>
  <si>
    <t>实验P 李俊辉
3GPB31024</t>
  </si>
  <si>
    <t>益智 
3GMB31031</t>
  </si>
  <si>
    <t>秋季
周日</t>
  </si>
  <si>
    <t>9月10日</t>
  </si>
  <si>
    <t>实验C 陈衡
3GCA31007      已满班</t>
  </si>
  <si>
    <t>实验P 吕云飞
3GPB31025     已满班</t>
  </si>
  <si>
    <t>益智  汪耀辉
3GMB31032</t>
  </si>
  <si>
    <t>初中暑假秋季班号表</t>
  </si>
  <si>
    <t>暑假原价2880元/科/12节课24小时；秋季原价3840元/科/16节课32小时
（扫右方二维码私聊老师了解更多优惠详情）</t>
  </si>
  <si>
    <t>校区</t>
  </si>
  <si>
    <t>年级</t>
  </si>
  <si>
    <t>时间</t>
  </si>
  <si>
    <t>初二</t>
  </si>
  <si>
    <t>9月9日起  每周六</t>
  </si>
  <si>
    <r>
      <rPr>
        <b/>
        <sz val="14"/>
        <color rgb="FF000000"/>
        <rFont val="微软雅黑"/>
        <charset val="134"/>
      </rPr>
      <t xml:space="preserve">实验P 李小巧
SY2ZP081             </t>
    </r>
    <r>
      <rPr>
        <b/>
        <sz val="14"/>
        <color rgb="FFFF0000"/>
        <rFont val="微软雅黑"/>
        <charset val="134"/>
      </rPr>
      <t>学位紧张</t>
    </r>
  </si>
  <si>
    <t>益智  张雨碟
TG2ZM035          已报满</t>
  </si>
  <si>
    <t>双语B  赖静怡
SY2ZY161             已报满</t>
  </si>
  <si>
    <r>
      <rPr>
        <b/>
        <sz val="14"/>
        <color rgb="FF000000"/>
        <rFont val="微软雅黑"/>
        <charset val="134"/>
      </rPr>
      <t xml:space="preserve">博文 聂维一
SY2ZW059         </t>
    </r>
    <r>
      <rPr>
        <b/>
        <sz val="14"/>
        <color rgb="FFFF0000"/>
        <rFont val="微软雅黑"/>
        <charset val="134"/>
      </rPr>
      <t>学位紧张</t>
    </r>
  </si>
  <si>
    <t>9月10日起
每周日</t>
  </si>
  <si>
    <t>双语A  赖静怡
SY2ZY162             已报满</t>
  </si>
  <si>
    <t>博文 聂维一
SY2ZW060            已报满</t>
  </si>
  <si>
    <t>实验P 李小巧
SY2ZP082</t>
  </si>
  <si>
    <t>益智
TG2ZM036        未开放</t>
  </si>
  <si>
    <t>中考</t>
  </si>
  <si>
    <t>9月9日起
每周六</t>
  </si>
  <si>
    <r>
      <rPr>
        <b/>
        <sz val="14"/>
        <color rgb="FF000000"/>
        <rFont val="微软雅黑"/>
        <charset val="134"/>
      </rPr>
      <t xml:space="preserve">双语A  赖静怡
SY3ZY110              </t>
    </r>
    <r>
      <rPr>
        <b/>
        <sz val="14"/>
        <color rgb="FFFF0000"/>
        <rFont val="微软雅黑"/>
        <charset val="134"/>
      </rPr>
      <t>余5</t>
    </r>
  </si>
  <si>
    <r>
      <rPr>
        <b/>
        <sz val="14"/>
        <rFont val="微软雅黑"/>
        <charset val="134"/>
      </rPr>
      <t xml:space="preserve">实验P  李小巧
SY3ZP076             </t>
    </r>
    <r>
      <rPr>
        <b/>
        <sz val="14"/>
        <color rgb="FFFF0000"/>
        <rFont val="微软雅黑"/>
        <charset val="134"/>
      </rPr>
      <t>余5</t>
    </r>
  </si>
  <si>
    <r>
      <rPr>
        <b/>
        <sz val="14"/>
        <color rgb="FF000000"/>
        <rFont val="微软雅黑"/>
        <charset val="134"/>
      </rPr>
      <t xml:space="preserve">益智  张雨碟  
TG3ZM034            </t>
    </r>
    <r>
      <rPr>
        <b/>
        <sz val="14"/>
        <color rgb="FFFF0000"/>
        <rFont val="微软雅黑"/>
        <charset val="134"/>
      </rPr>
      <t>余9</t>
    </r>
  </si>
  <si>
    <r>
      <rPr>
        <b/>
        <sz val="14"/>
        <color rgb="FF000000"/>
        <rFont val="微软雅黑"/>
        <charset val="134"/>
      </rPr>
      <t xml:space="preserve">实验C 玉锦莹
SY3ZC071              </t>
    </r>
    <r>
      <rPr>
        <b/>
        <sz val="14"/>
        <color rgb="FFFF0000"/>
        <rFont val="微软雅黑"/>
        <charset val="134"/>
      </rPr>
      <t>余3</t>
    </r>
  </si>
  <si>
    <r>
      <rPr>
        <b/>
        <sz val="14"/>
        <color rgb="FF000000"/>
        <rFont val="微软雅黑"/>
        <charset val="134"/>
      </rPr>
      <t xml:space="preserve">实验C  玉锦莹
SY3ZC072              </t>
    </r>
    <r>
      <rPr>
        <b/>
        <sz val="14"/>
        <color rgb="FFFF0000"/>
        <rFont val="微软雅黑"/>
        <charset val="134"/>
      </rPr>
      <t>余7</t>
    </r>
  </si>
  <si>
    <t>双语A  赖静怡
SY3ZY111             已报满</t>
  </si>
  <si>
    <t>博文  聂维一
SY3ZW039</t>
  </si>
  <si>
    <t>实验P  李小巧
SY3ZP077</t>
  </si>
  <si>
    <t>洛溪</t>
  </si>
  <si>
    <t>初一</t>
  </si>
  <si>
    <t>暑假</t>
  </si>
  <si>
    <t>7月10日-7月22日
周一至周六</t>
  </si>
  <si>
    <t>双语演讲  
SY1ZY207</t>
  </si>
  <si>
    <t>博文美育
SY1ZW092</t>
  </si>
  <si>
    <t>科学益智  
TG1ZM080</t>
  </si>
  <si>
    <t>7月24日-8月5日
周一至周五</t>
  </si>
  <si>
    <t>科学益智  
TG1ZM082</t>
  </si>
  <si>
    <t>博文美育
SY1ZW093</t>
  </si>
  <si>
    <t>双语演讲  
SY1ZY208</t>
  </si>
  <si>
    <t>双语演讲  
SY1ZY212</t>
  </si>
  <si>
    <t>博文美育
SY1ZW094</t>
  </si>
  <si>
    <t>科学益智  
TG1ZM084</t>
  </si>
  <si>
    <t>大石</t>
  </si>
  <si>
    <t>7月10日-22日周一至周六</t>
  </si>
  <si>
    <t>博文美育
SY1ZW038</t>
  </si>
  <si>
    <t>科学益智  
TG1ZM013</t>
  </si>
  <si>
    <t>双语演讲
SY1ZY113</t>
  </si>
  <si>
    <t>双语演讲
SY1ZY112</t>
  </si>
  <si>
    <t>9月9日起每周六</t>
  </si>
  <si>
    <t>博文美育
SY1ZW040</t>
  </si>
  <si>
    <t>科学益智  
TG1ZM015</t>
  </si>
  <si>
    <t>双语演讲
SY1ZY117</t>
  </si>
  <si>
    <t>双语演讲
SY1ZY116</t>
  </si>
  <si>
    <t>亚运城</t>
  </si>
  <si>
    <t>科学益智  
TG1ZM105</t>
  </si>
  <si>
    <t>博文美育
SY1ZW111</t>
  </si>
  <si>
    <t>双语演讲
SY1ZY246</t>
  </si>
  <si>
    <t>科学益智  
TG1ZM106</t>
  </si>
  <si>
    <t>博文美育
SY1ZW113</t>
  </si>
  <si>
    <t>双语演讲
SY1ZY249</t>
  </si>
  <si>
    <t>博文美育
SY2ZW063</t>
  </si>
  <si>
    <t>双语演讲A
SY2ZY175</t>
  </si>
  <si>
    <t>科学益智 
TG2ZM042B</t>
  </si>
  <si>
    <t>博文美育
SY2ZW064</t>
  </si>
  <si>
    <t>双语演讲A
SY2ZY176</t>
  </si>
  <si>
    <t>科学益智 
TG2ZM043B</t>
  </si>
  <si>
    <t>初三</t>
  </si>
  <si>
    <t>双语演讲A
SY3ZY118</t>
  </si>
  <si>
    <t>科学益智  
TG3ZM037B</t>
  </si>
  <si>
    <t>双语演讲A
SY3ZY119</t>
  </si>
  <si>
    <t>科学益智  
TG3ZM038B</t>
  </si>
  <si>
    <t>客村</t>
  </si>
  <si>
    <t>双语B  尧志玲
SY2ZY143</t>
  </si>
  <si>
    <t>实验P 粟红叶
SY2ZP067</t>
  </si>
  <si>
    <t>双语A  尧志玲
SY2ZY142</t>
  </si>
  <si>
    <t>益智  何美玲
TG2ZM024B</t>
  </si>
  <si>
    <t>双语A  戴超超
SY2ZY141</t>
  </si>
  <si>
    <t>7月24日-8月5日
周一至周六</t>
  </si>
  <si>
    <t>双语A  戴超超
SY2ZY145</t>
  </si>
  <si>
    <t>实验P 粟红叶
SY2ZP069</t>
  </si>
  <si>
    <t>益智  何美玲
TG2ZM025B</t>
  </si>
  <si>
    <t>实验P 粟红叶
SY2ZP068</t>
  </si>
  <si>
    <t>博文  曹丽
SY2ZW051</t>
  </si>
  <si>
    <t>双语A  尧志玲
SY2ZY144</t>
  </si>
  <si>
    <t>双语B  尧志玲
SY2ZY148</t>
  </si>
  <si>
    <t>实验P 粟红叶
SY2ZP070</t>
  </si>
  <si>
    <t>双语A  尧志玲
SY2ZY147</t>
  </si>
  <si>
    <t>益智  何美玲
TG2ZM026B</t>
  </si>
  <si>
    <t>实验P 粟红叶
SY2ZP071</t>
  </si>
  <si>
    <t>双语A  戴超超
SY2ZY146</t>
  </si>
  <si>
    <t>9月10日起每周日</t>
  </si>
  <si>
    <t>双语A  戴超超
SY2ZY150</t>
  </si>
  <si>
    <t>实验P 粟红叶
SY2ZP072</t>
  </si>
  <si>
    <t>益智  何美玲
TG2ZM027B</t>
  </si>
  <si>
    <t>双语A  尧志玲
SY2ZY149</t>
  </si>
  <si>
    <t>博文  曹丽
SY2ZW052</t>
  </si>
  <si>
    <t>市桥校区 新高一暑假衔接时间表</t>
  </si>
  <si>
    <t>博文  郑秋红
1GWB31032
未开放</t>
  </si>
  <si>
    <t>实验P  吕云飞
1GPB31149
未开放</t>
  </si>
  <si>
    <t>益智  未开放
1GMB31171</t>
  </si>
  <si>
    <t>实验P  吕云飞
1GPB31151
未开放</t>
  </si>
  <si>
    <t>双语  胡庭豪
1GMB31167
未开放</t>
  </si>
  <si>
    <t>周六
9月9日起</t>
  </si>
  <si>
    <r>
      <rPr>
        <b/>
        <sz val="14"/>
        <color rgb="FF000000"/>
        <rFont val="微软雅黑"/>
        <charset val="134"/>
      </rPr>
      <t xml:space="preserve">实验C  陈衡
1GCA31032        </t>
    </r>
    <r>
      <rPr>
        <b/>
        <sz val="14"/>
        <color rgb="FFFF0000"/>
        <rFont val="微软雅黑"/>
        <charset val="134"/>
      </rPr>
      <t>学位紧张</t>
    </r>
  </si>
  <si>
    <t>实验P  吕云飞
1GPA31032      已报满</t>
  </si>
  <si>
    <t>益智  郑沐林
1GMA31033     已报满</t>
  </si>
  <si>
    <r>
      <rPr>
        <b/>
        <sz val="14"/>
        <color rgb="FF000000"/>
        <rFont val="微软雅黑"/>
        <charset val="134"/>
      </rPr>
      <t xml:space="preserve">实验C  陈衡
1GCA31033        </t>
    </r>
    <r>
      <rPr>
        <b/>
        <sz val="14"/>
        <color rgb="FFFF0000"/>
        <rFont val="微软雅黑"/>
        <charset val="134"/>
      </rPr>
      <t>余9</t>
    </r>
  </si>
  <si>
    <r>
      <rPr>
        <b/>
        <sz val="14"/>
        <color rgb="FF000000"/>
        <rFont val="微软雅黑"/>
        <charset val="134"/>
      </rPr>
      <t xml:space="preserve">双语 胡庭豪
1GYA31028        </t>
    </r>
    <r>
      <rPr>
        <b/>
        <sz val="14"/>
        <color rgb="FFFF0000"/>
        <rFont val="微软雅黑"/>
        <charset val="134"/>
      </rPr>
      <t>余13</t>
    </r>
  </si>
  <si>
    <r>
      <rPr>
        <b/>
        <sz val="14"/>
        <color rgb="FF000000"/>
        <rFont val="微软雅黑"/>
        <charset val="134"/>
      </rPr>
      <t xml:space="preserve">实验P  吕云飞
1GPB31158        </t>
    </r>
    <r>
      <rPr>
        <b/>
        <sz val="14"/>
        <color rgb="FFFF0000"/>
        <rFont val="微软雅黑"/>
        <charset val="134"/>
      </rPr>
      <t>余8</t>
    </r>
  </si>
  <si>
    <t>双语 胡庭豪
1GYB31160        已报满</t>
  </si>
  <si>
    <t>实验C  陈衡
1GCB31119      已报满</t>
  </si>
  <si>
    <r>
      <rPr>
        <b/>
        <sz val="14"/>
        <color rgb="FF000000"/>
        <rFont val="微软雅黑"/>
        <charset val="134"/>
      </rPr>
      <t xml:space="preserve">实验P  吕云飞
1GPB31156        </t>
    </r>
    <r>
      <rPr>
        <b/>
        <sz val="14"/>
        <color rgb="FFFF0000"/>
        <rFont val="微软雅黑"/>
        <charset val="134"/>
      </rPr>
      <t>学位紧张</t>
    </r>
  </si>
  <si>
    <r>
      <rPr>
        <b/>
        <sz val="14"/>
        <color rgb="FF000000"/>
        <rFont val="微软雅黑"/>
        <charset val="134"/>
      </rPr>
      <t xml:space="preserve">益智  汪耀辉
1GMB31177       </t>
    </r>
    <r>
      <rPr>
        <b/>
        <sz val="14"/>
        <color rgb="FFFF0000"/>
        <rFont val="微软雅黑"/>
        <charset val="134"/>
      </rPr>
      <t>余4</t>
    </r>
  </si>
  <si>
    <t>实验P  李俊辉
1GPB31157      已报满</t>
  </si>
  <si>
    <t>益智  汪耀辉
1GMB31176       已报满</t>
  </si>
  <si>
    <t>周日
9月10日起</t>
  </si>
  <si>
    <r>
      <rPr>
        <b/>
        <sz val="14"/>
        <color rgb="FF000000"/>
        <rFont val="微软雅黑"/>
        <charset val="134"/>
      </rPr>
      <t xml:space="preserve">实验P  李俊辉
1GPA31033        </t>
    </r>
    <r>
      <rPr>
        <b/>
        <sz val="14"/>
        <color rgb="FFFF0000"/>
        <rFont val="微软雅黑"/>
        <charset val="134"/>
      </rPr>
      <t>学位紧张</t>
    </r>
  </si>
  <si>
    <r>
      <rPr>
        <b/>
        <sz val="14"/>
        <color rgb="FF000000"/>
        <rFont val="微软雅黑"/>
        <charset val="134"/>
      </rPr>
      <t xml:space="preserve">益智  汪耀辉
1GMA31034     </t>
    </r>
    <r>
      <rPr>
        <b/>
        <sz val="14"/>
        <color rgb="FFFF0000"/>
        <rFont val="微软雅黑"/>
        <charset val="134"/>
      </rPr>
      <t>学位紧张</t>
    </r>
  </si>
  <si>
    <r>
      <rPr>
        <b/>
        <sz val="14"/>
        <rFont val="微软雅黑"/>
        <charset val="134"/>
      </rPr>
      <t xml:space="preserve">益智 郑沐林
1GMB31178     </t>
    </r>
    <r>
      <rPr>
        <b/>
        <sz val="14"/>
        <color rgb="FFFF0000"/>
        <rFont val="微软雅黑"/>
        <charset val="134"/>
      </rPr>
      <t>余9</t>
    </r>
  </si>
  <si>
    <r>
      <rPr>
        <b/>
        <sz val="14"/>
        <color rgb="FF000000"/>
        <rFont val="微软雅黑"/>
        <charset val="134"/>
      </rPr>
      <t xml:space="preserve">实验C  郑家林
1GCB31123         </t>
    </r>
    <r>
      <rPr>
        <b/>
        <sz val="14"/>
        <color rgb="FFFF0000"/>
        <rFont val="微软雅黑"/>
        <charset val="134"/>
      </rPr>
      <t xml:space="preserve">学位紧张   </t>
    </r>
    <r>
      <rPr>
        <b/>
        <sz val="14"/>
        <color rgb="FF000000"/>
        <rFont val="微软雅黑"/>
        <charset val="134"/>
      </rPr>
      <t xml:space="preserve"> </t>
    </r>
  </si>
  <si>
    <r>
      <rPr>
        <b/>
        <sz val="14"/>
        <color rgb="FF000000"/>
        <rFont val="微软雅黑"/>
        <charset val="134"/>
      </rPr>
      <t xml:space="preserve">实验P  吕云飞
1GPB31159        </t>
    </r>
    <r>
      <rPr>
        <b/>
        <sz val="14"/>
        <color rgb="FFFF0000"/>
        <rFont val="微软雅黑"/>
        <charset val="134"/>
      </rPr>
      <t>余12</t>
    </r>
  </si>
  <si>
    <t>实验C  陈衡
1GCB31121</t>
  </si>
  <si>
    <r>
      <rPr>
        <b/>
        <sz val="14"/>
        <color rgb="FF000000"/>
        <rFont val="微软雅黑"/>
        <charset val="134"/>
      </rPr>
      <t xml:space="preserve">双语  胡庭豪
1GYB31161        </t>
    </r>
    <r>
      <rPr>
        <b/>
        <sz val="14"/>
        <color rgb="FFFF0000"/>
        <rFont val="微软雅黑"/>
        <charset val="134"/>
      </rPr>
      <t>余12</t>
    </r>
  </si>
  <si>
    <t>博文 李雨景
1GWB31035</t>
  </si>
  <si>
    <t xml:space="preserve">双语A 徐苏艳
SY1ZY224          </t>
  </si>
  <si>
    <r>
      <rPr>
        <b/>
        <sz val="14"/>
        <rFont val="微软雅黑"/>
        <charset val="134"/>
      </rPr>
      <t xml:space="preserve">双语B  徐苏艳
SY1ZY223             </t>
    </r>
    <r>
      <rPr>
        <b/>
        <sz val="14"/>
        <color rgb="FFFF0000"/>
        <rFont val="微软雅黑"/>
        <charset val="134"/>
      </rPr>
      <t>已报满</t>
    </r>
  </si>
  <si>
    <r>
      <rPr>
        <b/>
        <sz val="14"/>
        <color rgb="FF000000"/>
        <rFont val="微软雅黑"/>
        <charset val="134"/>
      </rPr>
      <t xml:space="preserve">博文  聂维一
SY1ZW099           </t>
    </r>
    <r>
      <rPr>
        <b/>
        <sz val="14"/>
        <color rgb="FFFF0000"/>
        <rFont val="微软雅黑"/>
        <charset val="134"/>
      </rPr>
      <t>余4</t>
    </r>
  </si>
  <si>
    <t xml:space="preserve">学习机托管A       张雨碟
TG1ZM090           </t>
  </si>
  <si>
    <t>双语A 徐苏艳
SY1ZY221           未开</t>
  </si>
  <si>
    <t xml:space="preserve">学习机托管B        张雨碟
TG1ZM091            </t>
  </si>
  <si>
    <r>
      <rPr>
        <b/>
        <sz val="14"/>
        <color rgb="FF000000"/>
        <rFont val="微软雅黑"/>
        <charset val="134"/>
      </rPr>
      <t xml:space="preserve">博文  聂维一
SY1ZW100           </t>
    </r>
    <r>
      <rPr>
        <b/>
        <sz val="14"/>
        <color rgb="FFFF0000"/>
        <rFont val="微软雅黑"/>
        <charset val="134"/>
      </rPr>
      <t>学位紧张</t>
    </r>
  </si>
  <si>
    <t>双语A 徐苏艳SY1ZY222          学位紧张</t>
  </si>
  <si>
    <t xml:space="preserve">学习机托管A       张雨碟
TG1ZM092     </t>
  </si>
  <si>
    <t>双语B 徐苏艳
SY1ZY225</t>
  </si>
  <si>
    <t>双语A 徐苏艳
SY1ZY226</t>
  </si>
  <si>
    <t>博文  聂维一
SY1ZW101</t>
  </si>
  <si>
    <t>益智B 
TG1ZM092</t>
  </si>
  <si>
    <t>双语B
SY1ZY225</t>
  </si>
  <si>
    <t>双语A 董丹阳
SY2ZY159
已满班</t>
  </si>
  <si>
    <t>博文 聂维一
SY2ZW057</t>
  </si>
  <si>
    <r>
      <rPr>
        <b/>
        <sz val="14"/>
        <color rgb="FF000000"/>
        <rFont val="微软雅黑"/>
        <charset val="134"/>
      </rPr>
      <t xml:space="preserve">益智  张雨碟
TG2ZM034
</t>
    </r>
    <r>
      <rPr>
        <b/>
        <sz val="14"/>
        <color rgb="FFFF0000"/>
        <rFont val="微软雅黑"/>
        <charset val="134"/>
      </rPr>
      <t>学位紧张</t>
    </r>
  </si>
  <si>
    <r>
      <rPr>
        <b/>
        <sz val="14"/>
        <color rgb="FF000000"/>
        <rFont val="微软雅黑"/>
        <charset val="134"/>
      </rPr>
      <t xml:space="preserve">实验P 李小巧
SY2ZP079
</t>
    </r>
    <r>
      <rPr>
        <b/>
        <sz val="14"/>
        <color rgb="FFFF0000"/>
        <rFont val="微软雅黑"/>
        <charset val="134"/>
      </rPr>
      <t>学位紧张</t>
    </r>
  </si>
  <si>
    <t>双语B  董丹阳
SY2ZY160
已满班</t>
  </si>
  <si>
    <r>
      <rPr>
        <b/>
        <sz val="14"/>
        <color rgb="FF000000"/>
        <rFont val="微软雅黑"/>
        <charset val="134"/>
      </rPr>
      <t xml:space="preserve">博文 聂维一
SY2ZW058
</t>
    </r>
    <r>
      <rPr>
        <b/>
        <sz val="14"/>
        <color rgb="FFFF0000"/>
        <rFont val="微软雅黑"/>
        <charset val="134"/>
      </rPr>
      <t>学位紧张</t>
    </r>
  </si>
  <si>
    <t>实验P 李小巧
SY2ZP080</t>
  </si>
  <si>
    <t>实验P 李小巧
SY2ZP081</t>
  </si>
  <si>
    <t>益智
TG2ZM035</t>
  </si>
  <si>
    <t>双语B  董丹阳
SY2ZY161</t>
  </si>
  <si>
    <t>博文 聂维一
SY2ZW059</t>
  </si>
  <si>
    <r>
      <rPr>
        <b/>
        <sz val="14"/>
        <color rgb="FF000000"/>
        <rFont val="微软雅黑"/>
        <charset val="134"/>
      </rPr>
      <t xml:space="preserve">双语A  董丹阳
SY2ZY162
</t>
    </r>
    <r>
      <rPr>
        <b/>
        <sz val="14"/>
        <color rgb="FFFF0000"/>
        <rFont val="微软雅黑"/>
        <charset val="134"/>
      </rPr>
      <t>学位紧张</t>
    </r>
  </si>
  <si>
    <r>
      <rPr>
        <b/>
        <sz val="14"/>
        <color rgb="FF000000"/>
        <rFont val="微软雅黑"/>
        <charset val="134"/>
      </rPr>
      <t xml:space="preserve">博文 聂维一
SY2ZW060
</t>
    </r>
    <r>
      <rPr>
        <b/>
        <sz val="14"/>
        <color rgb="FFFF0000"/>
        <rFont val="微软雅黑"/>
        <charset val="134"/>
      </rPr>
      <t>学位紧张</t>
    </r>
  </si>
  <si>
    <t>益智
TG3ZM033
已满班</t>
  </si>
  <si>
    <r>
      <rPr>
        <b/>
        <sz val="14"/>
        <color rgb="FF000000"/>
        <rFont val="微软雅黑"/>
        <charset val="134"/>
      </rPr>
      <t xml:space="preserve">双语A 董丹阳
SY3ZY108
</t>
    </r>
    <r>
      <rPr>
        <b/>
        <sz val="14"/>
        <color rgb="FFFF0000"/>
        <rFont val="微软雅黑"/>
        <charset val="134"/>
      </rPr>
      <t>余2</t>
    </r>
  </si>
  <si>
    <t>实验P  李小巧
SY3ZP074
已满班</t>
  </si>
  <si>
    <r>
      <rPr>
        <b/>
        <sz val="14"/>
        <color rgb="FF000000"/>
        <rFont val="微软雅黑"/>
        <charset val="134"/>
      </rPr>
      <t xml:space="preserve">实验C 玉锦莹
SY3ZC069
</t>
    </r>
    <r>
      <rPr>
        <b/>
        <sz val="14"/>
        <color rgb="FFFF0000"/>
        <rFont val="微软雅黑"/>
        <charset val="134"/>
      </rPr>
      <t>学位紧张</t>
    </r>
  </si>
  <si>
    <t>博文  聂维一
SY3ZW038</t>
  </si>
  <si>
    <r>
      <rPr>
        <b/>
        <sz val="14"/>
        <color rgb="FF000000"/>
        <rFont val="微软雅黑"/>
        <charset val="134"/>
      </rPr>
      <t xml:space="preserve">实验C 玉锦莹
SY3ZC070
</t>
    </r>
    <r>
      <rPr>
        <b/>
        <sz val="14"/>
        <color rgb="FFFF0000"/>
        <rFont val="微软雅黑"/>
        <charset val="134"/>
      </rPr>
      <t>余3</t>
    </r>
  </si>
  <si>
    <t>实验P 李小巧
SY3ZP075</t>
  </si>
  <si>
    <t>双语A  董丹阳
SY3ZY109</t>
  </si>
  <si>
    <t>双语A  董丹阳
SY3ZY110</t>
  </si>
  <si>
    <t>实验P  李小巧
SY3ZP076</t>
  </si>
  <si>
    <t>益智 
TG3ZM034</t>
  </si>
  <si>
    <t>实验C  玉锦莹
SY3ZC071</t>
  </si>
  <si>
    <t>实验C  玉锦莹
SY3ZC072</t>
  </si>
  <si>
    <t>双语A  董丹阳
SY3ZY111</t>
  </si>
  <si>
    <r>
      <rPr>
        <b/>
        <sz val="14"/>
        <rFont val="微软雅黑"/>
        <charset val="134"/>
      </rPr>
      <t>实验P  李小巧
SY3ZP077</t>
    </r>
    <r>
      <rPr>
        <b/>
        <sz val="6"/>
        <rFont val="微软雅黑"/>
        <charset val="134"/>
      </rPr>
      <t>（新开）</t>
    </r>
  </si>
  <si>
    <t>博文
SY1ZW038</t>
  </si>
  <si>
    <t>益智  
TG1ZM013</t>
  </si>
  <si>
    <t>双语A
SY1ZY113</t>
  </si>
  <si>
    <t>双语A
SY1ZY112</t>
  </si>
  <si>
    <t>博文
SY1ZW040</t>
  </si>
  <si>
    <t>益智  
TG1ZM015</t>
  </si>
  <si>
    <t>双语
SY1ZY117</t>
  </si>
  <si>
    <t>双语
SY1ZY116</t>
  </si>
  <si>
    <t>双语A
SY2ZY187</t>
  </si>
  <si>
    <t>实验P
SY2ZP092</t>
  </si>
  <si>
    <t>益智
TG2ZM049</t>
  </si>
  <si>
    <t>双语A
SY2ZY188</t>
  </si>
  <si>
    <t>实验P
SY2ZP093</t>
  </si>
  <si>
    <t>益智
TG2ZM050</t>
  </si>
  <si>
    <t>双语A 李思秋
SY1ZY248</t>
  </si>
  <si>
    <t>双语B 李思秋
SY1ZY247</t>
  </si>
  <si>
    <t>益智  卢愉清 
TG1ZM105</t>
  </si>
  <si>
    <t>博文 张文馨
SY1ZW111</t>
  </si>
  <si>
    <t>双语A 李思秋
SY1ZY246</t>
  </si>
  <si>
    <t>双语A 李思秋
SY1ZY250</t>
  </si>
  <si>
    <t>益智  卢愉清 
TG1ZM106</t>
  </si>
  <si>
    <t>双语B 李思秋
SY1ZY249</t>
  </si>
  <si>
    <t>9月10日起
每周六</t>
  </si>
  <si>
    <t>博文 张文馨
SY1ZW113</t>
  </si>
  <si>
    <t>科学益智 
TG2ZM042</t>
  </si>
  <si>
    <t>科学益智 
TG2ZM043</t>
  </si>
  <si>
    <t>初中寒春班号表</t>
  </si>
  <si>
    <t>寒假原价2080元/科/8节课16小时；春季原价4000元/科/16节课32小时
（扫右方二维码私聊老师了解更多优惠详情）</t>
  </si>
  <si>
    <t>13:30-15:30</t>
  </si>
  <si>
    <t>15:50-17:50</t>
  </si>
  <si>
    <t>寒假一期</t>
  </si>
  <si>
    <t>1月20日-1月27日</t>
  </si>
  <si>
    <r>
      <rPr>
        <b/>
        <sz val="11"/>
        <rFont val="微软雅黑"/>
        <charset val="134"/>
      </rPr>
      <t xml:space="preserve">双语A 徐苏艳
SY1ZY476           </t>
    </r>
    <r>
      <rPr>
        <b/>
        <sz val="11"/>
        <color rgb="FFFF0000"/>
        <rFont val="微软雅黑"/>
        <charset val="134"/>
      </rPr>
      <t>余5</t>
    </r>
  </si>
  <si>
    <t>双语B  徐苏艳
SY1ZY474          已满班</t>
  </si>
  <si>
    <r>
      <rPr>
        <b/>
        <sz val="11"/>
        <rFont val="微软雅黑"/>
        <charset val="134"/>
      </rPr>
      <t xml:space="preserve">博文  聂维一
SY1ZW226            </t>
    </r>
    <r>
      <rPr>
        <b/>
        <sz val="11"/>
        <color rgb="FFFF0000"/>
        <rFont val="微软雅黑"/>
        <charset val="134"/>
      </rPr>
      <t>学位紧张</t>
    </r>
  </si>
  <si>
    <t>学习机托管A       张雨碟
TG1ZM352       已满班</t>
  </si>
  <si>
    <r>
      <rPr>
        <b/>
        <sz val="11"/>
        <rFont val="微软雅黑"/>
        <charset val="134"/>
      </rPr>
      <t xml:space="preserve">学习机托管B        张雨碟
TG1ZM351               </t>
    </r>
    <r>
      <rPr>
        <b/>
        <sz val="11"/>
        <color rgb="FFFF0000"/>
        <rFont val="微软雅黑"/>
        <charset val="134"/>
      </rPr>
      <t>余6</t>
    </r>
    <r>
      <rPr>
        <b/>
        <sz val="11"/>
        <rFont val="微软雅黑"/>
        <charset val="134"/>
      </rPr>
      <t xml:space="preserve"> </t>
    </r>
  </si>
  <si>
    <t>博文  聂维一
SY1ZW228          已满班</t>
  </si>
  <si>
    <r>
      <rPr>
        <b/>
        <sz val="11"/>
        <rFont val="微软雅黑"/>
        <charset val="134"/>
      </rPr>
      <t xml:space="preserve">双语A 徐苏艳SY1ZY478            </t>
    </r>
    <r>
      <rPr>
        <b/>
        <sz val="11"/>
        <color rgb="FFFF0000"/>
        <rFont val="微软雅黑"/>
        <charset val="134"/>
      </rPr>
      <t>余6</t>
    </r>
  </si>
  <si>
    <t>寒假二期</t>
  </si>
  <si>
    <t>1月29日-2月5日</t>
  </si>
  <si>
    <t xml:space="preserve">双语A 徐苏艳
SY1ZY480     </t>
  </si>
  <si>
    <r>
      <rPr>
        <b/>
        <sz val="11"/>
        <rFont val="微软雅黑"/>
        <charset val="134"/>
      </rPr>
      <t xml:space="preserve">学习机托管A       张雨碟
TG1ZM348            </t>
    </r>
    <r>
      <rPr>
        <b/>
        <sz val="11"/>
        <color rgb="FFFF0000"/>
        <rFont val="微软雅黑"/>
        <charset val="134"/>
      </rPr>
      <t>学位紧张</t>
    </r>
  </si>
  <si>
    <t>博文  聂维一
SY1ZW496</t>
  </si>
  <si>
    <t>春季</t>
  </si>
  <si>
    <t>2月24日起每周六</t>
  </si>
  <si>
    <r>
      <rPr>
        <b/>
        <sz val="11"/>
        <rFont val="微软雅黑"/>
        <charset val="134"/>
      </rPr>
      <t xml:space="preserve">双语A 徐苏艳
SY1ZY477              </t>
    </r>
    <r>
      <rPr>
        <b/>
        <sz val="11"/>
        <color rgb="FFFF0000"/>
        <rFont val="微软雅黑"/>
        <charset val="134"/>
      </rPr>
      <t>学位紧张</t>
    </r>
  </si>
  <si>
    <r>
      <rPr>
        <b/>
        <sz val="11"/>
        <rFont val="微软雅黑"/>
        <charset val="134"/>
      </rPr>
      <t xml:space="preserve">双语B  徐苏艳
SY1ZY475         </t>
    </r>
    <r>
      <rPr>
        <b/>
        <sz val="11"/>
        <color rgb="FFFF0000"/>
        <rFont val="微软雅黑"/>
        <charset val="134"/>
      </rPr>
      <t>余8</t>
    </r>
  </si>
  <si>
    <t>博文  聂维一
SY1ZW227</t>
  </si>
  <si>
    <r>
      <rPr>
        <b/>
        <sz val="11"/>
        <rFont val="微软雅黑"/>
        <charset val="134"/>
      </rPr>
      <t xml:space="preserve">学习机托管A       张雨碟
TG1ZM350               </t>
    </r>
    <r>
      <rPr>
        <b/>
        <sz val="11"/>
        <color rgb="FFFF0000"/>
        <rFont val="微软雅黑"/>
        <charset val="134"/>
      </rPr>
      <t>余5</t>
    </r>
  </si>
  <si>
    <t xml:space="preserve">学习机托管B        张雨碟
TG1ZM349         </t>
  </si>
  <si>
    <t>博文  聂维一
SY1ZW229</t>
  </si>
  <si>
    <t>双语A 徐苏艳SY1ZY479</t>
  </si>
  <si>
    <t>2月25日起每周日</t>
  </si>
  <si>
    <t xml:space="preserve">双语A 徐苏艳
SY1ZY481  </t>
  </si>
  <si>
    <t>学习机托管A       张雨碟
TG1ZM347</t>
  </si>
  <si>
    <t>2023年部分学校校庆时间汇总</t>
  </si>
  <si>
    <t>学校</t>
  </si>
  <si>
    <t>主题</t>
  </si>
  <si>
    <t>开放时间</t>
  </si>
  <si>
    <t>预约情况</t>
  </si>
  <si>
    <t>地址</t>
  </si>
  <si>
    <t>西关外国语</t>
  </si>
  <si>
    <t>75周年校庆</t>
  </si>
  <si>
    <t>10月29日8:30-11:30</t>
  </si>
  <si>
    <t>需预约</t>
  </si>
  <si>
    <t>荔湾区中山八路石基路1号</t>
  </si>
  <si>
    <t>广州一中</t>
  </si>
  <si>
    <t>95周年校庆</t>
  </si>
  <si>
    <t>10月29日9:30-11:30</t>
  </si>
  <si>
    <t>直接前往</t>
  </si>
  <si>
    <t>荔湾区大坦沙育贤路30号</t>
  </si>
  <si>
    <t>广雅中学</t>
  </si>
  <si>
    <t>135周年校庆</t>
  </si>
  <si>
    <t>待公布</t>
  </si>
  <si>
    <t>荔湾区广雅路1号</t>
  </si>
  <si>
    <t>广大附中</t>
  </si>
  <si>
    <t>黄华路校区: 越秀区黄华路6号          大学城校区:番禺区大学城国医西路31号</t>
  </si>
  <si>
    <t>三十三中</t>
  </si>
  <si>
    <t>67周年校庆</t>
  </si>
  <si>
    <t>无需预约</t>
  </si>
  <si>
    <t>海珠区同福西路278号</t>
  </si>
  <si>
    <t>南海中学</t>
  </si>
  <si>
    <t>119周年校庆</t>
  </si>
  <si>
    <t>荔湾区西华路460号(初中部校区</t>
  </si>
  <si>
    <t>广州四中</t>
  </si>
  <si>
    <t>106周年校庆</t>
  </si>
  <si>
    <t>11月5日8:30-12:00</t>
  </si>
  <si>
    <t>荔湾区康王北路芦获街广州市第四中学南门</t>
  </si>
  <si>
    <t>十六中</t>
  </si>
  <si>
    <t>89周年校庆</t>
  </si>
  <si>
    <t>11月5日9:30-11:30</t>
  </si>
  <si>
    <t>越秀区中山二路37号</t>
  </si>
  <si>
    <t>26中</t>
  </si>
  <si>
    <t>68周年校庆</t>
  </si>
  <si>
    <t>11月5日上午9:30-11:30</t>
  </si>
  <si>
    <t>越秀区小港路119号</t>
  </si>
  <si>
    <t>真光学校</t>
  </si>
  <si>
    <t>151周年校庆</t>
  </si>
  <si>
    <t>11月11日9:00-11:30</t>
  </si>
  <si>
    <t>真光学校长堤校区、石公祠校区</t>
  </si>
  <si>
    <t>执信中学</t>
  </si>
  <si>
    <t>102周年校庆</t>
  </si>
  <si>
    <t>越秀区执信南路152号</t>
  </si>
  <si>
    <t>四十一中</t>
  </si>
  <si>
    <t>65周年校庆</t>
  </si>
  <si>
    <t>本部校区:海珠区工业大道北101号东校区: 海珠区广纸北二路116号</t>
  </si>
  <si>
    <t>番禺香江实验学校</t>
  </si>
  <si>
    <t>10周年</t>
  </si>
  <si>
    <t>番禺区南村镇迎宾路锦绣香江花园内</t>
  </si>
  <si>
    <t>广州三中</t>
  </si>
  <si>
    <t>160周年校庆</t>
  </si>
  <si>
    <t>广州十中</t>
  </si>
  <si>
    <t>117周年校庆</t>
  </si>
  <si>
    <t>起义路维新横素波巷30号</t>
  </si>
  <si>
    <t>初一双语</t>
  </si>
  <si>
    <t>实验P 李小巧
SY2ZP152</t>
  </si>
  <si>
    <t>学习机托管A   张雨碟
TG2ZM134           已报满</t>
  </si>
  <si>
    <r>
      <rPr>
        <b/>
        <sz val="9"/>
        <rFont val="微软雅黑"/>
        <charset val="134"/>
      </rPr>
      <t xml:space="preserve">双语B 赖静怡
SY2ZY280        </t>
    </r>
    <r>
      <rPr>
        <b/>
        <sz val="9"/>
        <color rgb="FFFF0000"/>
        <rFont val="微软雅黑"/>
        <charset val="134"/>
      </rPr>
      <t>学位紧张</t>
    </r>
  </si>
  <si>
    <r>
      <rPr>
        <b/>
        <sz val="9"/>
        <rFont val="微软雅黑"/>
        <charset val="134"/>
      </rPr>
      <t xml:space="preserve">博文  聂维一
SY2ZW092       </t>
    </r>
    <r>
      <rPr>
        <b/>
        <sz val="9"/>
        <color rgb="FFFF0000"/>
        <rFont val="微软雅黑"/>
        <charset val="134"/>
      </rPr>
      <t>学位紧张</t>
    </r>
  </si>
  <si>
    <t>双语A 赖静怡
SY1ZY221           未开</t>
  </si>
  <si>
    <t>双语A 赖静怡SY2ZY282</t>
  </si>
  <si>
    <t>博文  聂维一
SY2ZW090</t>
  </si>
  <si>
    <r>
      <rPr>
        <b/>
        <sz val="9"/>
        <color rgb="FF000000"/>
        <rFont val="微软雅黑"/>
        <charset val="134"/>
      </rPr>
      <t xml:space="preserve">实验P 李小巧
SY2ZP154        </t>
    </r>
    <r>
      <rPr>
        <b/>
        <sz val="9"/>
        <color rgb="FFFF0000"/>
        <rFont val="微软雅黑"/>
        <charset val="134"/>
      </rPr>
      <t>学位紧张</t>
    </r>
  </si>
  <si>
    <t>实验P 李小巧
SY2ZP153</t>
  </si>
  <si>
    <r>
      <rPr>
        <b/>
        <sz val="9"/>
        <rFont val="微软雅黑"/>
        <charset val="134"/>
      </rPr>
      <t xml:space="preserve">学习机托管A       张雨碟
TG2ZM133        </t>
    </r>
    <r>
      <rPr>
        <b/>
        <sz val="9"/>
        <color rgb="FFFF0000"/>
        <rFont val="微软雅黑"/>
        <charset val="134"/>
      </rPr>
      <t xml:space="preserve">余1    </t>
    </r>
    <r>
      <rPr>
        <b/>
        <sz val="9"/>
        <rFont val="微软雅黑"/>
        <charset val="134"/>
      </rPr>
      <t xml:space="preserve">   </t>
    </r>
  </si>
  <si>
    <t xml:space="preserve">双语B 赖静怡
SY2ZY281    </t>
  </si>
  <si>
    <t xml:space="preserve">博文  聂维一
SY2ZW093        </t>
  </si>
  <si>
    <t>SY代表素养</t>
  </si>
  <si>
    <t>SY1ZY+编号</t>
  </si>
  <si>
    <t xml:space="preserve">双语A 赖静怡
SY2ZY283    </t>
  </si>
  <si>
    <r>
      <rPr>
        <b/>
        <sz val="9"/>
        <rFont val="微软雅黑"/>
        <charset val="134"/>
      </rPr>
      <t xml:space="preserve">博文  聂维一
SY2ZW091      </t>
    </r>
    <r>
      <rPr>
        <b/>
        <sz val="9"/>
        <color rgb="FFFF0000"/>
        <rFont val="微软雅黑"/>
        <charset val="134"/>
      </rPr>
      <t>余9</t>
    </r>
  </si>
  <si>
    <t>实验P 李小巧
SY2ZP155</t>
  </si>
  <si>
    <t>2Z初二年级</t>
  </si>
  <si>
    <t>初一1Z</t>
  </si>
  <si>
    <t>TG1托管初一</t>
  </si>
  <si>
    <r>
      <rPr>
        <sz val="11"/>
        <color theme="1"/>
        <rFont val="宋体"/>
        <charset val="134"/>
        <scheme val="minor"/>
      </rPr>
      <t>Z+Y中学</t>
    </r>
    <r>
      <rPr>
        <sz val="11"/>
        <color rgb="FFFF0000"/>
        <rFont val="宋体"/>
        <charset val="134"/>
        <scheme val="minor"/>
      </rPr>
      <t>英语</t>
    </r>
  </si>
  <si>
    <t>ZY双语</t>
  </si>
  <si>
    <t>ZW博文</t>
  </si>
  <si>
    <t>ZM中学数</t>
  </si>
  <si>
    <t>ZP中学物理</t>
  </si>
  <si>
    <t>ZC中学化学</t>
  </si>
  <si>
    <t>281编号</t>
  </si>
  <si>
    <t>寒假原价2080元/科/8节课16小时；中考春季原价3750元/科/15节课/30小时
（扫右方二维码私聊老师了解更多优惠详情）</t>
  </si>
  <si>
    <t>双语A  赖静怡
SY3ZY213         已满班</t>
  </si>
  <si>
    <t>实验P  李小巧
SY3ZP174        已满班</t>
  </si>
  <si>
    <t>学习机托管A    张雨碟  
TG3ZM151      已满班</t>
  </si>
  <si>
    <t>实验C 玉锦莹
SY3ZC164      已满班</t>
  </si>
  <si>
    <r>
      <rPr>
        <b/>
        <sz val="9"/>
        <color rgb="FF000000"/>
        <rFont val="微软雅黑"/>
        <charset val="134"/>
      </rPr>
      <t xml:space="preserve">实验C  玉锦莹
SY3ZC166         </t>
    </r>
    <r>
      <rPr>
        <b/>
        <sz val="9"/>
        <color rgb="FFFF0000"/>
        <rFont val="微软雅黑"/>
        <charset val="134"/>
      </rPr>
      <t>余4</t>
    </r>
  </si>
  <si>
    <r>
      <rPr>
        <b/>
        <sz val="9"/>
        <color rgb="FF000000"/>
        <rFont val="微软雅黑"/>
        <charset val="134"/>
      </rPr>
      <t xml:space="preserve">双语B  赖静怡
SY3ZY211         </t>
    </r>
    <r>
      <rPr>
        <b/>
        <sz val="9"/>
        <color rgb="FFFF0000"/>
        <rFont val="微软雅黑"/>
        <charset val="134"/>
      </rPr>
      <t>学位紧张</t>
    </r>
  </si>
  <si>
    <t>博文  聂维一
SY3ZW065</t>
  </si>
  <si>
    <t>实验P  李小巧
SY3ZP176</t>
  </si>
  <si>
    <t xml:space="preserve">双语A 赖静怡
SY3ZY214    </t>
  </si>
  <si>
    <t>实验P 李小巧
SY3ZP175</t>
  </si>
  <si>
    <t xml:space="preserve">学习机托管A    张雨碟
TG3ZM150       </t>
  </si>
  <si>
    <r>
      <rPr>
        <b/>
        <sz val="9"/>
        <color rgb="FF000000"/>
        <rFont val="微软雅黑"/>
        <charset val="134"/>
      </rPr>
      <t xml:space="preserve">实验C  玉锦莹
SY3ZC165         </t>
    </r>
    <r>
      <rPr>
        <b/>
        <sz val="9"/>
        <color rgb="FFFF0000"/>
        <rFont val="微软雅黑"/>
        <charset val="134"/>
      </rPr>
      <t>余5</t>
    </r>
  </si>
  <si>
    <t>实验C  玉锦莹
SY3ZC167</t>
  </si>
  <si>
    <t>双语B  赖静怡
SY3ZY212</t>
  </si>
  <si>
    <t>博文  聂维一
SY3ZW066</t>
  </si>
  <si>
    <t>实验P 李小巧
SY3ZP177</t>
  </si>
  <si>
    <t>初一暑秋班号表</t>
  </si>
  <si>
    <t>市桥校区</t>
  </si>
  <si>
    <t>暑假1期</t>
  </si>
  <si>
    <r>
      <rPr>
        <b/>
        <sz val="10"/>
        <color rgb="FFFF0000"/>
        <rFont val="微软雅黑"/>
        <charset val="134"/>
      </rPr>
      <t xml:space="preserve"> 6月28日-7月11日  </t>
    </r>
    <r>
      <rPr>
        <b/>
        <sz val="10"/>
        <color rgb="FF000000"/>
        <rFont val="微软雅黑"/>
        <charset val="134"/>
      </rPr>
      <t xml:space="preserve">          (7月4，5日休息)</t>
    </r>
  </si>
  <si>
    <t>双语S
SY1ZY1383 杨淼  满班</t>
  </si>
  <si>
    <t>博文S
SY1ZW739  聂维一 满班</t>
  </si>
  <si>
    <t>学习机托管S
TG1ZM1116
李芝惠 满班</t>
  </si>
  <si>
    <t>博文A
SY1ZW740
聂维一 满班</t>
  </si>
  <si>
    <t>双语A
SY1ZY1382 满班</t>
  </si>
  <si>
    <t>学习机托管A
TG1ZM1115
张雨碟  满班</t>
  </si>
  <si>
    <r>
      <rPr>
        <b/>
        <sz val="10"/>
        <color theme="1"/>
        <rFont val="宋体"/>
        <charset val="134"/>
        <scheme val="minor"/>
      </rPr>
      <t xml:space="preserve">博文A 聂维一             
</t>
    </r>
    <r>
      <rPr>
        <b/>
        <sz val="11"/>
        <color theme="1"/>
        <rFont val="宋体"/>
        <charset val="134"/>
        <scheme val="minor"/>
      </rPr>
      <t>SY1ZW890  满班</t>
    </r>
  </si>
  <si>
    <t xml:space="preserve"> 双语A 李嘉信SY1ZY1699      满班</t>
  </si>
  <si>
    <r>
      <rPr>
        <b/>
        <sz val="10"/>
        <color theme="1"/>
        <rFont val="微软雅黑"/>
        <charset val="134"/>
      </rPr>
      <t xml:space="preserve">学习机托管B       李芝惠 </t>
    </r>
    <r>
      <rPr>
        <b/>
        <sz val="10"/>
        <color rgb="FFFF0000"/>
        <rFont val="微软雅黑"/>
        <charset val="134"/>
      </rPr>
      <t>余1</t>
    </r>
    <r>
      <rPr>
        <b/>
        <sz val="10"/>
        <color theme="1"/>
        <rFont val="微软雅黑"/>
        <charset val="134"/>
      </rPr>
      <t xml:space="preserve">
TG1ZM1114                 </t>
    </r>
  </si>
  <si>
    <r>
      <rPr>
        <b/>
        <sz val="10"/>
        <color theme="1"/>
        <rFont val="微软雅黑"/>
        <charset val="134"/>
      </rPr>
      <t xml:space="preserve">双语B
SY1ZY1381
李嘉信  </t>
    </r>
    <r>
      <rPr>
        <b/>
        <sz val="10"/>
        <color rgb="FFFF0000"/>
        <rFont val="微软雅黑"/>
        <charset val="134"/>
      </rPr>
      <t>余5</t>
    </r>
  </si>
  <si>
    <t>暑假2期</t>
  </si>
  <si>
    <r>
      <rPr>
        <b/>
        <sz val="10"/>
        <color rgb="FFFF0000"/>
        <rFont val="微软雅黑"/>
        <charset val="134"/>
      </rPr>
      <t xml:space="preserve">7月13日-7月26日      </t>
    </r>
    <r>
      <rPr>
        <b/>
        <sz val="10"/>
        <color rgb="FF000000"/>
        <rFont val="微软雅黑"/>
        <charset val="134"/>
      </rPr>
      <t>(7月19，20日休息)</t>
    </r>
  </si>
  <si>
    <r>
      <rPr>
        <b/>
        <sz val="10"/>
        <rFont val="微软雅黑"/>
        <charset val="134"/>
      </rPr>
      <t xml:space="preserve">学习机托管A TG1ZM1387
李芝惠 </t>
    </r>
    <r>
      <rPr>
        <b/>
        <sz val="10"/>
        <color rgb="FFFF0000"/>
        <rFont val="微软雅黑"/>
        <charset val="134"/>
      </rPr>
      <t>余4</t>
    </r>
  </si>
  <si>
    <r>
      <rPr>
        <b/>
        <sz val="10"/>
        <rFont val="微软雅黑"/>
        <charset val="134"/>
      </rPr>
      <t xml:space="preserve">博文A
SY1ZW887
聂维一          </t>
    </r>
    <r>
      <rPr>
        <b/>
        <sz val="10"/>
        <color rgb="FFFF0000"/>
        <rFont val="微软雅黑"/>
        <charset val="134"/>
      </rPr>
      <t>热报中</t>
    </r>
    <r>
      <rPr>
        <b/>
        <sz val="10"/>
        <rFont val="微软雅黑"/>
        <charset val="134"/>
      </rPr>
      <t xml:space="preserve"> </t>
    </r>
  </si>
  <si>
    <t xml:space="preserve">双语A杨淼
SY1ZY1696 满班 </t>
  </si>
  <si>
    <r>
      <rPr>
        <b/>
        <sz val="10"/>
        <rFont val="微软雅黑"/>
        <charset val="134"/>
      </rPr>
      <t xml:space="preserve">双语B  李嘉信
SY1ZY1703  </t>
    </r>
    <r>
      <rPr>
        <b/>
        <sz val="10"/>
        <color rgb="FFFF0000"/>
        <rFont val="微软雅黑"/>
        <charset val="134"/>
      </rPr>
      <t>余6</t>
    </r>
  </si>
  <si>
    <t>a</t>
  </si>
  <si>
    <t xml:space="preserve"> </t>
  </si>
  <si>
    <r>
      <rPr>
        <b/>
        <sz val="10"/>
        <rFont val="微软雅黑"/>
        <charset val="134"/>
      </rPr>
      <t xml:space="preserve">博文A   陈冬丽                 SY1ZW960  </t>
    </r>
    <r>
      <rPr>
        <b/>
        <sz val="10"/>
        <color rgb="FFFF0000"/>
        <rFont val="微软雅黑"/>
        <charset val="134"/>
      </rPr>
      <t>热报中</t>
    </r>
  </si>
  <si>
    <r>
      <rPr>
        <b/>
        <sz val="10"/>
        <rFont val="微软雅黑"/>
        <charset val="134"/>
      </rPr>
      <t>学习机托管A      张雨碟TG1ZM1326</t>
    </r>
    <r>
      <rPr>
        <b/>
        <sz val="10"/>
        <color rgb="FFFF0000"/>
        <rFont val="微软雅黑"/>
        <charset val="134"/>
      </rPr>
      <t>余5</t>
    </r>
  </si>
  <si>
    <t xml:space="preserve">暑假3期        </t>
  </si>
  <si>
    <r>
      <rPr>
        <b/>
        <sz val="10"/>
        <color rgb="FFFF0000"/>
        <rFont val="微软雅黑"/>
        <charset val="134"/>
      </rPr>
      <t>7月28日-8月10日</t>
    </r>
    <r>
      <rPr>
        <b/>
        <sz val="10"/>
        <color rgb="FF000000"/>
        <rFont val="微软雅黑"/>
        <charset val="134"/>
      </rPr>
      <t xml:space="preserve">      (8月3，4日休息)</t>
    </r>
  </si>
  <si>
    <r>
      <rPr>
        <b/>
        <sz val="10"/>
        <rFont val="微软雅黑"/>
        <charset val="134"/>
      </rPr>
      <t xml:space="preserve">学习机托管A      李芝惠
TG1ZM1328 </t>
    </r>
    <r>
      <rPr>
        <b/>
        <sz val="10"/>
        <color rgb="FFFF0000"/>
        <rFont val="微软雅黑"/>
        <charset val="134"/>
      </rPr>
      <t>热报中</t>
    </r>
    <r>
      <rPr>
        <b/>
        <sz val="10"/>
        <rFont val="微软雅黑"/>
        <charset val="134"/>
      </rPr>
      <t xml:space="preserve">          </t>
    </r>
  </si>
  <si>
    <t xml:space="preserve">双语A
SY1ZY1697
李嘉信  满班      </t>
  </si>
  <si>
    <t>博文A 聂维一
SY1ZW889   满班</t>
  </si>
  <si>
    <t xml:space="preserve">学习机托管A      李芝惠
TG1ZM1327 满班        </t>
  </si>
  <si>
    <r>
      <rPr>
        <b/>
        <sz val="10"/>
        <rFont val="微软雅黑"/>
        <charset val="134"/>
      </rPr>
      <t xml:space="preserve">双语B杨淼
SY1ZY1701    </t>
    </r>
    <r>
      <rPr>
        <b/>
        <sz val="10"/>
        <color rgb="FFFF0000"/>
        <rFont val="微软雅黑"/>
        <charset val="134"/>
      </rPr>
      <t>热报中</t>
    </r>
  </si>
  <si>
    <t>博文A 陈冬丽
SY1ZW888   满班</t>
  </si>
  <si>
    <r>
      <rPr>
        <b/>
        <sz val="10"/>
        <rFont val="微软雅黑"/>
        <charset val="134"/>
      </rPr>
      <t xml:space="preserve">双语A杨淼
SY1ZY1698 </t>
    </r>
    <r>
      <rPr>
        <b/>
        <sz val="10"/>
        <color rgb="FFFF0000"/>
        <rFont val="微软雅黑"/>
        <charset val="134"/>
      </rPr>
      <t>余2</t>
    </r>
  </si>
  <si>
    <r>
      <rPr>
        <b/>
        <sz val="10"/>
        <rFont val="微软雅黑"/>
        <charset val="134"/>
      </rPr>
      <t>学习机托管B
李芝惠
TG1ZM1329</t>
    </r>
    <r>
      <rPr>
        <b/>
        <sz val="10"/>
        <color rgb="FFFF0000"/>
        <rFont val="微软雅黑"/>
        <charset val="134"/>
      </rPr>
      <t>余8</t>
    </r>
  </si>
  <si>
    <r>
      <rPr>
        <b/>
        <sz val="10"/>
        <rFont val="微软雅黑"/>
        <charset val="134"/>
      </rPr>
      <t xml:space="preserve">双语B李嘉信
SY1ZY1700  </t>
    </r>
    <r>
      <rPr>
        <b/>
        <sz val="10"/>
        <color rgb="FFFF0000"/>
        <rFont val="微软雅黑"/>
        <charset val="134"/>
      </rPr>
      <t>热报中</t>
    </r>
  </si>
  <si>
    <t>暑假4期</t>
  </si>
  <si>
    <t>8月12日-8月24日
(8月18日休息</t>
  </si>
  <si>
    <r>
      <rPr>
        <b/>
        <sz val="10"/>
        <rFont val="微软雅黑"/>
        <charset val="134"/>
      </rPr>
      <t>学习机托管A 李芝惠TG1ZM1330</t>
    </r>
    <r>
      <rPr>
        <b/>
        <sz val="10"/>
        <color rgb="FFFF0000"/>
        <rFont val="微软雅黑"/>
        <charset val="134"/>
      </rPr>
      <t>余7</t>
    </r>
  </si>
  <si>
    <t>双语A 杨淼
SY1ZY1702    满班</t>
  </si>
  <si>
    <r>
      <rPr>
        <b/>
        <sz val="10"/>
        <rFont val="微软雅黑"/>
        <charset val="134"/>
      </rPr>
      <t xml:space="preserve">博文               聂唯一  SY1ZW955   </t>
    </r>
    <r>
      <rPr>
        <b/>
        <sz val="10"/>
        <color rgb="FFFF0000"/>
        <rFont val="微软雅黑"/>
        <charset val="134"/>
      </rPr>
      <t>余6</t>
    </r>
    <r>
      <rPr>
        <b/>
        <sz val="10"/>
        <rFont val="微软雅黑"/>
        <charset val="134"/>
      </rPr>
      <t xml:space="preserve">         </t>
    </r>
  </si>
  <si>
    <t>9月7日起每周六</t>
  </si>
  <si>
    <t>博文陈冬丽SY1ZW897   热报中</t>
  </si>
  <si>
    <t>双语A 杨淼SY1ZY1705 满班</t>
  </si>
  <si>
    <t>学习机益智A    张雨碟TG1ZM1332满班</t>
  </si>
  <si>
    <t>双语A 杨淼SY1ZY1706  满班</t>
  </si>
  <si>
    <r>
      <rPr>
        <b/>
        <sz val="10"/>
        <rFont val="微软雅黑"/>
        <charset val="134"/>
      </rPr>
      <t xml:space="preserve">学习机益智B  李芝惠TG1ZM1333  </t>
    </r>
    <r>
      <rPr>
        <b/>
        <sz val="10"/>
        <color rgb="FFFF0000"/>
        <rFont val="微软雅黑"/>
        <charset val="134"/>
      </rPr>
      <t>余7</t>
    </r>
  </si>
  <si>
    <t>双语A 李嘉信SY1ZY1705  满班</t>
  </si>
  <si>
    <r>
      <rPr>
        <b/>
        <sz val="10"/>
        <rFont val="微软雅黑"/>
        <charset val="134"/>
      </rPr>
      <t xml:space="preserve">双语B 杨淼SY1ZY1707 </t>
    </r>
    <r>
      <rPr>
        <b/>
        <sz val="10"/>
        <color theme="1"/>
        <rFont val="微软雅黑"/>
        <charset val="134"/>
      </rPr>
      <t>满班</t>
    </r>
    <r>
      <rPr>
        <b/>
        <sz val="10"/>
        <rFont val="微软雅黑"/>
        <charset val="134"/>
      </rPr>
      <t xml:space="preserve">    </t>
    </r>
  </si>
  <si>
    <r>
      <rPr>
        <b/>
        <sz val="10"/>
        <rFont val="微软雅黑"/>
        <charset val="134"/>
      </rPr>
      <t xml:space="preserve">博文A 聂维一SY1ZW891   </t>
    </r>
    <r>
      <rPr>
        <b/>
        <sz val="10"/>
        <color rgb="FFFF0000"/>
        <rFont val="微软雅黑"/>
        <charset val="134"/>
      </rPr>
      <t>余3</t>
    </r>
    <r>
      <rPr>
        <b/>
        <sz val="10"/>
        <rFont val="微软雅黑"/>
        <charset val="134"/>
      </rPr>
      <t xml:space="preserve">  </t>
    </r>
  </si>
  <si>
    <r>
      <rPr>
        <b/>
        <sz val="10"/>
        <rFont val="微软雅黑"/>
        <charset val="134"/>
      </rPr>
      <t>学习机益智A    李芝惠TG1ZM1331</t>
    </r>
    <r>
      <rPr>
        <b/>
        <sz val="10"/>
        <color rgb="FFFF0000"/>
        <rFont val="微软雅黑"/>
        <charset val="134"/>
      </rPr>
      <t>余8</t>
    </r>
  </si>
  <si>
    <t>9月8日起    每周日</t>
  </si>
  <si>
    <r>
      <rPr>
        <b/>
        <sz val="10"/>
        <rFont val="微软雅黑"/>
        <charset val="134"/>
      </rPr>
      <t xml:space="preserve">双语S杨淼    SY1ZY1385  </t>
    </r>
    <r>
      <rPr>
        <b/>
        <sz val="10"/>
        <color rgb="FFFF0000"/>
        <rFont val="微软雅黑"/>
        <charset val="134"/>
      </rPr>
      <t>余5</t>
    </r>
  </si>
  <si>
    <t>学习机益智S 李芝惠TG1ZM1118热报中</t>
  </si>
  <si>
    <t>博文S 聂维一    SY1ZW741  热报中</t>
  </si>
  <si>
    <t>双语A 李嘉信SY1ZY1708  热报中</t>
  </si>
  <si>
    <t>博文A聂维一             
SY1ZW898   热报中</t>
  </si>
  <si>
    <t>学习机托管A 张雨碟TG1ZM1119</t>
  </si>
  <si>
    <t xml:space="preserve">双语A 李嘉信  SY1ZY1386  </t>
  </si>
  <si>
    <t>双语B 李嘉信SY1ZY1384</t>
  </si>
  <si>
    <t>学习机托管A
李芝惠
TG1ZM1117</t>
  </si>
  <si>
    <r>
      <rPr>
        <b/>
        <sz val="10"/>
        <rFont val="微软雅黑"/>
        <charset val="134"/>
      </rPr>
      <t xml:space="preserve">双语A
杨淼
SY1ZY1709    </t>
    </r>
    <r>
      <rPr>
        <b/>
        <sz val="10"/>
        <color rgb="FFFF0000"/>
        <rFont val="微软雅黑"/>
        <charset val="134"/>
      </rPr>
      <t xml:space="preserve">余6 </t>
    </r>
    <r>
      <rPr>
        <b/>
        <sz val="10"/>
        <rFont val="微软雅黑"/>
        <charset val="134"/>
      </rPr>
      <t xml:space="preserve"> </t>
    </r>
  </si>
  <si>
    <t>双语B 李嘉信 SY1ZY1704</t>
  </si>
  <si>
    <t>暑假
7月14日</t>
  </si>
  <si>
    <t>志高</t>
  </si>
  <si>
    <t>实验C 陈迪
SY3ZC284[6]</t>
  </si>
  <si>
    <t>实验C 陈迪
SY3ZC285[6]</t>
  </si>
  <si>
    <t>实验P 周永杰
SY3ZP274[33]</t>
  </si>
  <si>
    <t>双语 胡恩茵
SY3ZY345[33]</t>
  </si>
  <si>
    <t>双语 胡恩茵
SY3ZY343[38]</t>
  </si>
  <si>
    <t>博文 钟颖思
SY3ZW093[19]</t>
  </si>
  <si>
    <t>学习机托管 陈玲
TG3ZM275[28]</t>
  </si>
  <si>
    <t>暑假
7月29日</t>
  </si>
  <si>
    <t>双语 黎淑琪
SY3ZY351[3]</t>
  </si>
  <si>
    <t>实验C 陈迪
SY3ZC286[11]</t>
  </si>
  <si>
    <t>实验P 周永杰
SY3ZP278[7]</t>
  </si>
  <si>
    <t>实验P 周永杰
SY3ZP276[6]</t>
  </si>
  <si>
    <t>双语 胡恩茵
SY3ZY349[19]</t>
  </si>
  <si>
    <t>精进</t>
  </si>
  <si>
    <t>双语 胡恩茵
SY3ZY347[22]</t>
  </si>
  <si>
    <t>秋季周六
9月7日</t>
  </si>
  <si>
    <t>实验C 陈迪
SY3ZC287[5]</t>
  </si>
  <si>
    <t>实验C 陈迪
SY3ZC288[5]</t>
  </si>
  <si>
    <t>实验P 周永杰
SY3ZP275[27]</t>
  </si>
  <si>
    <t>双语 胡恩茵
SY3ZY346[28]</t>
  </si>
  <si>
    <t>双语 胡恩茵
SY3ZY344[38]</t>
  </si>
  <si>
    <t>博文 钟颖思
SY3ZW094[15]</t>
  </si>
  <si>
    <t>学习机托管 陈玲
TG3ZM276[22]</t>
  </si>
  <si>
    <t>秋季周日
9月8日</t>
  </si>
  <si>
    <t>实验C 陈迪
SY3ZC289[8]</t>
  </si>
  <si>
    <t>实验P 周永杰
SY3ZP277[12]</t>
  </si>
  <si>
    <t>实验P 周永杰
SY3ZP279[1]</t>
  </si>
  <si>
    <t>双语 黎淑琪
SY3ZY352[3]</t>
  </si>
  <si>
    <t>双语 胡恩茵
SY3ZY350[18]</t>
  </si>
  <si>
    <t>双语 胡恩茵
SY3ZY348[18]</t>
  </si>
  <si>
    <t>初二暑秋班号表</t>
  </si>
  <si>
    <t>18.30-20.30</t>
  </si>
  <si>
    <t xml:space="preserve">暑假一期
</t>
  </si>
  <si>
    <t>7月13日-7月26日(7月19,20日休息)</t>
  </si>
  <si>
    <t>博文 陈冬丽SY2ZW374 热报中</t>
  </si>
  <si>
    <t>双语A 杨淼SY2ZY945   满班</t>
  </si>
  <si>
    <r>
      <rPr>
        <b/>
        <sz val="10"/>
        <rFont val="微软雅黑"/>
        <charset val="134"/>
      </rPr>
      <t xml:space="preserve">学习机托管A
李芝惠
TG2ZM616 </t>
    </r>
    <r>
      <rPr>
        <b/>
        <sz val="10"/>
        <color rgb="FFFF0000"/>
        <rFont val="微软雅黑"/>
        <charset val="134"/>
      </rPr>
      <t>热报中</t>
    </r>
  </si>
  <si>
    <r>
      <rPr>
        <b/>
        <sz val="10"/>
        <rFont val="微软雅黑"/>
        <charset val="134"/>
      </rPr>
      <t xml:space="preserve">双语B SY2ZY947    </t>
    </r>
    <r>
      <rPr>
        <b/>
        <sz val="10"/>
        <color rgb="FFFF0000"/>
        <rFont val="微软雅黑"/>
        <charset val="134"/>
      </rPr>
      <t>余1</t>
    </r>
  </si>
  <si>
    <r>
      <rPr>
        <b/>
        <sz val="10"/>
        <rFont val="微软雅黑"/>
        <charset val="134"/>
      </rPr>
      <t xml:space="preserve">学习机托管B
李芝惠
TG2ZM614  </t>
    </r>
    <r>
      <rPr>
        <b/>
        <sz val="10"/>
        <color rgb="FFFF0000"/>
        <rFont val="微软雅黑"/>
        <charset val="134"/>
      </rPr>
      <t>热报中</t>
    </r>
  </si>
  <si>
    <r>
      <rPr>
        <b/>
        <sz val="10"/>
        <rFont val="微软雅黑"/>
        <charset val="134"/>
      </rPr>
      <t xml:space="preserve">实验P 李小巧
SY2ZP549   </t>
    </r>
    <r>
      <rPr>
        <b/>
        <sz val="10"/>
        <color rgb="FFFF0000"/>
        <rFont val="微软雅黑"/>
        <charset val="134"/>
      </rPr>
      <t>热报中</t>
    </r>
  </si>
  <si>
    <r>
      <rPr>
        <b/>
        <sz val="10"/>
        <rFont val="微软雅黑"/>
        <charset val="134"/>
      </rPr>
      <t xml:space="preserve">实验P行远       李小巧SY2ZP548    </t>
    </r>
    <r>
      <rPr>
        <b/>
        <sz val="10"/>
        <color rgb="FFFF0000"/>
        <rFont val="微软雅黑"/>
        <charset val="134"/>
      </rPr>
      <t>热报中</t>
    </r>
  </si>
  <si>
    <t xml:space="preserve">暑假二期
</t>
  </si>
  <si>
    <t>8月12日-8月24日(8月18日休息)</t>
  </si>
  <si>
    <t>双语A SY2ZY952   杨淼              满班</t>
  </si>
  <si>
    <r>
      <rPr>
        <b/>
        <sz val="10"/>
        <rFont val="微软雅黑"/>
        <charset val="134"/>
      </rPr>
      <t xml:space="preserve">实验P 李小巧
SY2ZP550   </t>
    </r>
    <r>
      <rPr>
        <b/>
        <sz val="10"/>
        <color rgb="FFFF0000"/>
        <rFont val="微软雅黑"/>
        <charset val="134"/>
      </rPr>
      <t>余6</t>
    </r>
  </si>
  <si>
    <r>
      <rPr>
        <b/>
        <sz val="10"/>
        <rFont val="微软雅黑"/>
        <charset val="134"/>
      </rPr>
      <t xml:space="preserve">学习机托管A
张雨碟
TG2ZM617 </t>
    </r>
    <r>
      <rPr>
        <b/>
        <sz val="10"/>
        <color rgb="FFFF0000"/>
        <rFont val="微软雅黑"/>
        <charset val="134"/>
      </rPr>
      <t>余3</t>
    </r>
  </si>
  <si>
    <t>学习机托管A
张雨碟
TG2ZM618  热报中</t>
  </si>
  <si>
    <r>
      <rPr>
        <b/>
        <sz val="10"/>
        <rFont val="微软雅黑"/>
        <charset val="134"/>
      </rPr>
      <t xml:space="preserve">博文  聂维一
SY2ZW376  </t>
    </r>
    <r>
      <rPr>
        <b/>
        <sz val="10"/>
        <color rgb="FFFF0000"/>
        <rFont val="微软雅黑"/>
        <charset val="134"/>
      </rPr>
      <t>余2</t>
    </r>
  </si>
  <si>
    <r>
      <rPr>
        <b/>
        <sz val="10"/>
        <rFont val="微软雅黑"/>
        <charset val="134"/>
      </rPr>
      <t xml:space="preserve">双语A 李嘉信
SY2ZY951    </t>
    </r>
    <r>
      <rPr>
        <b/>
        <sz val="10"/>
        <color rgb="FFFF0000"/>
        <rFont val="微软雅黑"/>
        <charset val="134"/>
      </rPr>
      <t xml:space="preserve">余6    </t>
    </r>
    <r>
      <rPr>
        <b/>
        <sz val="10"/>
        <rFont val="微软雅黑"/>
        <charset val="134"/>
      </rPr>
      <t xml:space="preserve"> </t>
    </r>
  </si>
  <si>
    <r>
      <rPr>
        <b/>
        <sz val="10"/>
        <rFont val="微软雅黑"/>
        <charset val="134"/>
      </rPr>
      <t xml:space="preserve">实验P 李小巧SY2ZP552    </t>
    </r>
    <r>
      <rPr>
        <b/>
        <sz val="10"/>
        <color rgb="FFFF0000"/>
        <rFont val="微软雅黑"/>
        <charset val="134"/>
      </rPr>
      <t>余4</t>
    </r>
  </si>
  <si>
    <t>学习机托管B
李芝惠
TG2ZM619 满班</t>
  </si>
  <si>
    <r>
      <rPr>
        <b/>
        <sz val="10"/>
        <rFont val="微软雅黑"/>
        <charset val="134"/>
      </rPr>
      <t xml:space="preserve">双语B 杨淼
SY2ZY950    </t>
    </r>
    <r>
      <rPr>
        <b/>
        <sz val="10"/>
        <color rgb="FFFF0000"/>
        <rFont val="微软雅黑"/>
        <charset val="134"/>
      </rPr>
      <t xml:space="preserve">余1 </t>
    </r>
    <r>
      <rPr>
        <b/>
        <sz val="10"/>
        <rFont val="微软雅黑"/>
        <charset val="134"/>
      </rPr>
      <t xml:space="preserve"> </t>
    </r>
  </si>
  <si>
    <t>周六
9月7日</t>
  </si>
  <si>
    <t>实验P 李小巧SY2ZP554   满班</t>
  </si>
  <si>
    <t>博文 陈冬丽SY2ZW377</t>
  </si>
  <si>
    <t>学习机托管A李芝惠TG2ZM622</t>
  </si>
  <si>
    <t>实验P行远      李小巧SY2ZP553</t>
  </si>
  <si>
    <t>双语B 杨淼SY2ZY959    满班</t>
  </si>
  <si>
    <t>双语A杨淼SY2ZY953    满班</t>
  </si>
  <si>
    <t>学习机托管B
李芝惠
TG2ZM620</t>
  </si>
  <si>
    <t>周日
9月8日</t>
  </si>
  <si>
    <t>学习机托管A
张雨碟
TG2ZM623</t>
  </si>
  <si>
    <t>双语A 李嘉信
SY2ZY956</t>
  </si>
  <si>
    <t>实验P 李小巧SY2ZP557</t>
  </si>
  <si>
    <t>学习机托管B
李芝惠
TG2ZM625</t>
  </si>
  <si>
    <t>双语A杨淼
SY2ZY960        满班</t>
  </si>
  <si>
    <t>双语A 杨淼SY2ZY957</t>
  </si>
  <si>
    <t>学习机托管A
张雨碟
TG2ZM624</t>
  </si>
  <si>
    <t>博文 聂维一
SY2ZW401</t>
  </si>
  <si>
    <t>初三暑秋班号表</t>
  </si>
  <si>
    <t>7月13日-7月26日（7.19-7.20休）</t>
  </si>
  <si>
    <r>
      <rPr>
        <b/>
        <sz val="10"/>
        <rFont val="微软雅黑"/>
        <charset val="134"/>
      </rPr>
      <t xml:space="preserve">学习机托管B
张雨碟
TG3ZM445 </t>
    </r>
    <r>
      <rPr>
        <b/>
        <sz val="10"/>
        <color rgb="FFFF0000"/>
        <rFont val="微软雅黑"/>
        <charset val="134"/>
      </rPr>
      <t>热报中</t>
    </r>
  </si>
  <si>
    <t>实验P 李小巧SY3ZP428 满班</t>
  </si>
  <si>
    <t>双语A 李嘉信SY3ZY597   满班</t>
  </si>
  <si>
    <t>博文  聂维一
SY3ZW161   热报中</t>
  </si>
  <si>
    <r>
      <rPr>
        <b/>
        <sz val="10"/>
        <rFont val="微软雅黑"/>
        <charset val="134"/>
      </rPr>
      <t xml:space="preserve">实验C 代欣雨
SY3ZC458   </t>
    </r>
    <r>
      <rPr>
        <b/>
        <sz val="10"/>
        <color rgb="FFFF0000"/>
        <rFont val="微软雅黑"/>
        <charset val="134"/>
      </rPr>
      <t>余5</t>
    </r>
  </si>
  <si>
    <t>双语B 李嘉信
SY3ZY595</t>
  </si>
  <si>
    <r>
      <rPr>
        <b/>
        <sz val="10"/>
        <rFont val="微软雅黑"/>
        <charset val="134"/>
      </rPr>
      <t xml:space="preserve">博文  聂维一
SY3ZW138   </t>
    </r>
    <r>
      <rPr>
        <b/>
        <sz val="10"/>
        <color rgb="FFFF0000"/>
        <rFont val="微软雅黑"/>
        <charset val="134"/>
      </rPr>
      <t>热报中</t>
    </r>
  </si>
  <si>
    <r>
      <rPr>
        <b/>
        <sz val="10"/>
        <rFont val="微软雅黑"/>
        <charset val="134"/>
      </rPr>
      <t xml:space="preserve">学习机托管A张雨碟TG3ZM446 </t>
    </r>
    <r>
      <rPr>
        <b/>
        <sz val="10"/>
        <color rgb="FFFF0000"/>
        <rFont val="微软雅黑"/>
        <charset val="134"/>
      </rPr>
      <t>满班</t>
    </r>
  </si>
  <si>
    <r>
      <rPr>
        <b/>
        <sz val="10"/>
        <color theme="1" tint="0.15"/>
        <rFont val="微软雅黑"/>
        <charset val="134"/>
      </rPr>
      <t>实验P 李小巧</t>
    </r>
    <r>
      <rPr>
        <b/>
        <sz val="10"/>
        <color rgb="FFFF0000"/>
        <rFont val="微软雅黑"/>
        <charset val="134"/>
      </rPr>
      <t>SY3ZP464</t>
    </r>
  </si>
  <si>
    <t>8月12日-8月24日
(8月18日休息)</t>
  </si>
  <si>
    <t>实验C 代欣雨
SY3ZC459   满班</t>
  </si>
  <si>
    <t>学习机托管A张雨碟TG3ZM447   满班</t>
  </si>
  <si>
    <t xml:space="preserve">实验P 李小巧
SY3ZP429  满班    </t>
  </si>
  <si>
    <t>双语A 李嘉信SY3ZY598     满班</t>
  </si>
  <si>
    <t>周六
9月6日</t>
  </si>
  <si>
    <t>实验C 代欣雨
SY3ZC461</t>
  </si>
  <si>
    <t>实验P 李小巧SY3ZP430    余1</t>
  </si>
  <si>
    <t>双语A 李嘉信
SY3ZY601    满班</t>
  </si>
  <si>
    <t>学习机托管A
张雨碟
TG3ZM449满班</t>
  </si>
  <si>
    <t>学习机托管B张雨碟TG3ZM448满班</t>
  </si>
  <si>
    <r>
      <rPr>
        <b/>
        <sz val="10"/>
        <rFont val="微软雅黑"/>
        <charset val="134"/>
      </rPr>
      <t xml:space="preserve">博文  聂维一
SY3ZW164  </t>
    </r>
    <r>
      <rPr>
        <b/>
        <sz val="10"/>
        <color rgb="FFFF0000"/>
        <rFont val="微软雅黑"/>
        <charset val="134"/>
      </rPr>
      <t>余1</t>
    </r>
  </si>
  <si>
    <r>
      <rPr>
        <b/>
        <sz val="10"/>
        <rFont val="微软雅黑"/>
        <charset val="134"/>
      </rPr>
      <t xml:space="preserve">实验P 李小巧SY3ZP431 </t>
    </r>
    <r>
      <rPr>
        <b/>
        <sz val="10"/>
        <color rgb="FFFF0000"/>
        <rFont val="微软雅黑"/>
        <charset val="134"/>
      </rPr>
      <t>余5</t>
    </r>
  </si>
  <si>
    <t>双语B 李嘉信
SY3ZY599</t>
  </si>
  <si>
    <t>双语A 李嘉信
SY3ZY602</t>
  </si>
  <si>
    <t>周日
9月7日</t>
  </si>
  <si>
    <t>实验C 代欣雨SY3ZC463</t>
  </si>
  <si>
    <t>实验P 李小巧SY3ZP471</t>
  </si>
  <si>
    <t>学习机托管A张雨碟
TG3ZM450</t>
  </si>
  <si>
    <t>初一春季班号表</t>
  </si>
  <si>
    <t>寒假原价2520元/科/9节课18小时；春季原价4320元/科/16节课32小时
（扫右方二维码私聊老师了解更多优惠详情）</t>
  </si>
  <si>
    <t>每周六
3月7起</t>
  </si>
  <si>
    <r>
      <rPr>
        <b/>
        <sz val="10"/>
        <rFont val="微软雅黑"/>
        <charset val="134"/>
      </rPr>
      <t xml:space="preserve">学习机益智A
李芝惠
TG1ZM1669
</t>
    </r>
    <r>
      <rPr>
        <b/>
        <sz val="10"/>
        <color rgb="FFFF0000"/>
        <rFont val="微软雅黑"/>
        <charset val="134"/>
      </rPr>
      <t>余13</t>
    </r>
  </si>
  <si>
    <r>
      <rPr>
        <b/>
        <sz val="10"/>
        <rFont val="微软雅黑"/>
        <charset val="134"/>
      </rPr>
      <t xml:space="preserve">双语A杨淼
TG1ZY125
</t>
    </r>
    <r>
      <rPr>
        <b/>
        <sz val="10"/>
        <color rgb="FFFF0000"/>
        <rFont val="微软雅黑"/>
        <charset val="134"/>
      </rPr>
      <t>余1</t>
    </r>
  </si>
  <si>
    <r>
      <rPr>
        <b/>
        <sz val="10"/>
        <rFont val="微软雅黑"/>
        <charset val="134"/>
      </rPr>
      <t xml:space="preserve">学习机益智A
张雨碟
TG1ZM1668 
</t>
    </r>
    <r>
      <rPr>
        <b/>
        <sz val="10"/>
        <color rgb="FFFF0000"/>
        <rFont val="微软雅黑"/>
        <charset val="134"/>
      </rPr>
      <t>余2</t>
    </r>
  </si>
  <si>
    <r>
      <rPr>
        <b/>
        <sz val="10"/>
        <rFont val="微软雅黑"/>
        <charset val="134"/>
      </rPr>
      <t xml:space="preserve">双语A杨淼
TG1ZY124  
</t>
    </r>
    <r>
      <rPr>
        <b/>
        <sz val="10"/>
        <color rgb="FFFF0000"/>
        <rFont val="微软雅黑"/>
        <charset val="134"/>
      </rPr>
      <t>余4</t>
    </r>
  </si>
  <si>
    <t xml:space="preserve">实验P  
李小巧
TG1ZPD024     </t>
  </si>
  <si>
    <r>
      <rPr>
        <b/>
        <sz val="10"/>
        <rFont val="微软雅黑"/>
        <charset val="134"/>
      </rPr>
      <t xml:space="preserve">双语A 
李嘉信
TG1ZY126
</t>
    </r>
    <r>
      <rPr>
        <b/>
        <sz val="10"/>
        <color rgb="FFFF0000"/>
        <rFont val="微软雅黑"/>
        <charset val="134"/>
      </rPr>
      <t xml:space="preserve">余1 </t>
    </r>
  </si>
  <si>
    <r>
      <rPr>
        <b/>
        <sz val="10"/>
        <rFont val="微软雅黑"/>
        <charset val="134"/>
      </rPr>
      <t xml:space="preserve">双语B 杨淼
TG1ZY045
</t>
    </r>
    <r>
      <rPr>
        <b/>
        <sz val="10"/>
        <color rgb="FFFF0000"/>
        <rFont val="微软雅黑"/>
        <charset val="134"/>
      </rPr>
      <t xml:space="preserve">余1 </t>
    </r>
  </si>
  <si>
    <r>
      <rPr>
        <b/>
        <sz val="10"/>
        <color theme="1"/>
        <rFont val="微软雅黑"/>
        <charset val="134"/>
      </rPr>
      <t xml:space="preserve">博文  聂维一
TG1ZW058 
</t>
    </r>
    <r>
      <rPr>
        <b/>
        <sz val="10"/>
        <color rgb="FFFF0000"/>
        <rFont val="微软雅黑"/>
        <charset val="134"/>
      </rPr>
      <t>余10</t>
    </r>
  </si>
  <si>
    <r>
      <rPr>
        <b/>
        <sz val="10"/>
        <rFont val="微软雅黑"/>
        <charset val="134"/>
      </rPr>
      <t xml:space="preserve">博文  陈冬丽
TG1ZW057
</t>
    </r>
    <r>
      <rPr>
        <b/>
        <sz val="10"/>
        <color rgb="FFFF0000"/>
        <rFont val="微软雅黑"/>
        <charset val="134"/>
      </rPr>
      <t xml:space="preserve">余13 </t>
    </r>
  </si>
  <si>
    <t>学习机益智B
李芝惠
TG1ZM1667</t>
  </si>
  <si>
    <t>每周日
3月8起</t>
  </si>
  <si>
    <r>
      <rPr>
        <b/>
        <sz val="10"/>
        <rFont val="微软雅黑"/>
        <charset val="134"/>
      </rPr>
      <t xml:space="preserve">双语S 杨淼
TG1ZY016       
</t>
    </r>
    <r>
      <rPr>
        <b/>
        <sz val="10"/>
        <color rgb="FFFF0000"/>
        <rFont val="微软雅黑"/>
        <charset val="134"/>
      </rPr>
      <t>余10</t>
    </r>
    <r>
      <rPr>
        <b/>
        <sz val="10"/>
        <rFont val="微软雅黑"/>
        <charset val="134"/>
      </rPr>
      <t xml:space="preserve">                
需要额外购买教材    </t>
    </r>
  </si>
  <si>
    <r>
      <rPr>
        <b/>
        <sz val="10"/>
        <rFont val="微软雅黑"/>
        <charset val="134"/>
      </rPr>
      <t xml:space="preserve">学习机益智S
TG1ZM1726
李芝惠
</t>
    </r>
    <r>
      <rPr>
        <b/>
        <sz val="10"/>
        <color rgb="FFFF0000"/>
        <rFont val="微软雅黑"/>
        <charset val="134"/>
      </rPr>
      <t xml:space="preserve">余13 </t>
    </r>
    <r>
      <rPr>
        <b/>
        <sz val="10"/>
        <rFont val="微软雅黑"/>
        <charset val="134"/>
      </rPr>
      <t xml:space="preserve">            </t>
    </r>
  </si>
  <si>
    <r>
      <rPr>
        <b/>
        <sz val="10"/>
        <rFont val="微软雅黑"/>
        <charset val="134"/>
      </rPr>
      <t>博文S 聂维一
TG1ZW006</t>
    </r>
    <r>
      <rPr>
        <b/>
        <sz val="10"/>
        <color rgb="FFFF0000"/>
        <rFont val="微软雅黑"/>
        <charset val="134"/>
      </rPr>
      <t xml:space="preserve">       </t>
    </r>
  </si>
  <si>
    <r>
      <rPr>
        <b/>
        <sz val="10"/>
        <rFont val="微软雅黑"/>
        <charset val="134"/>
      </rPr>
      <t xml:space="preserve">双语A 李嘉信
TG1ZY073   
</t>
    </r>
    <r>
      <rPr>
        <b/>
        <sz val="10"/>
        <color rgb="FFFF0000"/>
        <rFont val="微软雅黑"/>
        <charset val="134"/>
      </rPr>
      <t>余10</t>
    </r>
  </si>
  <si>
    <r>
      <rPr>
        <b/>
        <sz val="10"/>
        <rFont val="微软雅黑"/>
        <charset val="134"/>
      </rPr>
      <t>博文  聂维一
TG1ZW001</t>
    </r>
    <r>
      <rPr>
        <b/>
        <sz val="10"/>
        <color rgb="FFFF0000"/>
        <rFont val="微软雅黑"/>
        <charset val="134"/>
      </rPr>
      <t xml:space="preserve">  
余18   </t>
    </r>
  </si>
  <si>
    <r>
      <rPr>
        <b/>
        <sz val="10"/>
        <rFont val="微软雅黑"/>
        <charset val="134"/>
      </rPr>
      <t xml:space="preserve">双语A杨淼
TG1ZY072  
</t>
    </r>
    <r>
      <rPr>
        <b/>
        <sz val="10"/>
        <color rgb="FFFF0000"/>
        <rFont val="微软雅黑"/>
        <charset val="134"/>
      </rPr>
      <t>余5</t>
    </r>
  </si>
  <si>
    <t>学习机益智A
李芝惠
TG1ZM1725</t>
  </si>
  <si>
    <t>初二寒春班号表</t>
  </si>
  <si>
    <t xml:space="preserve">每周六
</t>
  </si>
  <si>
    <t>双语A 杨淼
TG2ZY083      
已满班</t>
  </si>
  <si>
    <r>
      <rPr>
        <b/>
        <sz val="10"/>
        <rFont val="微软雅黑"/>
        <charset val="134"/>
      </rPr>
      <t xml:space="preserve">学习机益智B 
李芝惠
TG2ZM781   
</t>
    </r>
    <r>
      <rPr>
        <b/>
        <sz val="10"/>
        <color rgb="FFFF0000"/>
        <rFont val="微软雅黑"/>
        <charset val="134"/>
      </rPr>
      <t>余12</t>
    </r>
  </si>
  <si>
    <t>学习机益智A 
李芝惠
TG2ZM782  
已满班</t>
  </si>
  <si>
    <r>
      <rPr>
        <b/>
        <sz val="10"/>
        <rFont val="微软雅黑"/>
        <charset val="134"/>
      </rPr>
      <t>实验P</t>
    </r>
    <r>
      <rPr>
        <b/>
        <sz val="10"/>
        <color rgb="FFFF0000"/>
        <rFont val="微软雅黑"/>
        <charset val="134"/>
      </rPr>
      <t>行远</t>
    </r>
    <r>
      <rPr>
        <b/>
        <sz val="10"/>
        <rFont val="微软雅黑"/>
        <charset val="134"/>
      </rPr>
      <t xml:space="preserve">
李小巧
TG2ZP013      </t>
    </r>
    <r>
      <rPr>
        <b/>
        <sz val="10"/>
        <color rgb="FFFF0000"/>
        <rFont val="微软雅黑"/>
        <charset val="134"/>
      </rPr>
      <t xml:space="preserve">
余3</t>
    </r>
  </si>
  <si>
    <r>
      <t xml:space="preserve">双语A 杨淼
TG2ZY082   
</t>
    </r>
    <r>
      <rPr>
        <b/>
        <sz val="10"/>
        <color rgb="FFFF0000"/>
        <rFont val="微软雅黑"/>
        <charset val="134"/>
      </rPr>
      <t>余13</t>
    </r>
  </si>
  <si>
    <r>
      <rPr>
        <b/>
        <sz val="10"/>
        <rFont val="微软雅黑"/>
        <charset val="134"/>
      </rPr>
      <t xml:space="preserve">博文 陈冬丽
TG2ZW033
</t>
    </r>
    <r>
      <rPr>
        <b/>
        <sz val="10"/>
        <color rgb="FFFF0000"/>
        <rFont val="微软雅黑"/>
        <charset val="134"/>
      </rPr>
      <t>余10</t>
    </r>
  </si>
  <si>
    <t>线上课                  周六</t>
  </si>
  <si>
    <t>地理 王乃全G8DLRJB0001Q4</t>
  </si>
  <si>
    <t>生物 张爽G8SWRJB0001Q4</t>
  </si>
  <si>
    <t>地理 王乃全G8DLRJB0002Q4</t>
  </si>
  <si>
    <t>生物 张爽G8SWRJB0003Q4</t>
  </si>
  <si>
    <t>地理 王乃全G8DLRJB0004Q4</t>
  </si>
  <si>
    <t xml:space="preserve">每周日
</t>
  </si>
  <si>
    <r>
      <rPr>
        <b/>
        <sz val="10"/>
        <color theme="1"/>
        <rFont val="微软雅黑"/>
        <charset val="134"/>
      </rPr>
      <t xml:space="preserve">学习机益智A
张雨碟
TG2ZM818     
</t>
    </r>
    <r>
      <rPr>
        <b/>
        <sz val="10"/>
        <color rgb="FFFF0000"/>
        <rFont val="微软雅黑"/>
        <charset val="134"/>
      </rPr>
      <t>余12</t>
    </r>
  </si>
  <si>
    <r>
      <rPr>
        <b/>
        <sz val="10"/>
        <rFont val="微软雅黑"/>
        <charset val="134"/>
      </rPr>
      <t xml:space="preserve">博文 聂维一
TG2ZW012  
</t>
    </r>
    <r>
      <rPr>
        <b/>
        <sz val="10"/>
        <color rgb="FFFF0000"/>
        <rFont val="微软雅黑"/>
        <charset val="134"/>
      </rPr>
      <t>余13</t>
    </r>
  </si>
  <si>
    <r>
      <rPr>
        <b/>
        <sz val="10"/>
        <rFont val="微软雅黑"/>
        <charset val="134"/>
      </rPr>
      <t xml:space="preserve">双语B 杨淼
TG2ZY043   
</t>
    </r>
    <r>
      <rPr>
        <b/>
        <sz val="10"/>
        <color rgb="FFFF0000"/>
        <rFont val="微软雅黑"/>
        <charset val="134"/>
      </rPr>
      <t>余12</t>
    </r>
  </si>
  <si>
    <r>
      <rPr>
        <b/>
        <sz val="10"/>
        <rFont val="微软雅黑"/>
        <charset val="134"/>
      </rPr>
      <t xml:space="preserve">学习机益智A
张雨碟
TG2ZM819    
</t>
    </r>
    <r>
      <rPr>
        <b/>
        <sz val="10"/>
        <color rgb="FFFF0000"/>
        <rFont val="微软雅黑"/>
        <charset val="134"/>
      </rPr>
      <t>余20</t>
    </r>
  </si>
  <si>
    <r>
      <t xml:space="preserve">双语A 杨淼
TG2ZY042   
</t>
    </r>
    <r>
      <rPr>
        <b/>
        <sz val="10"/>
        <color rgb="FFFF0000"/>
        <rFont val="微软雅黑"/>
        <charset val="134"/>
      </rPr>
      <t>余3</t>
    </r>
  </si>
  <si>
    <r>
      <rPr>
        <b/>
        <sz val="10"/>
        <rFont val="微软雅黑"/>
        <charset val="134"/>
      </rPr>
      <t xml:space="preserve">实验P 李小巧
TG2ZP027    
</t>
    </r>
    <r>
      <rPr>
        <b/>
        <sz val="10"/>
        <color rgb="FFFF0000"/>
        <rFont val="微软雅黑"/>
        <charset val="134"/>
      </rPr>
      <t>余14</t>
    </r>
  </si>
  <si>
    <r>
      <t xml:space="preserve">学习机益智B
李芝惠
TG2ZM820     
</t>
    </r>
    <r>
      <rPr>
        <b/>
        <sz val="10"/>
        <color rgb="FFFF0000"/>
        <rFont val="微软雅黑"/>
        <charset val="134"/>
      </rPr>
      <t xml:space="preserve"> 余13</t>
    </r>
  </si>
  <si>
    <r>
      <rPr>
        <b/>
        <sz val="10"/>
        <rFont val="微软雅黑"/>
        <charset val="134"/>
      </rPr>
      <t xml:space="preserve">双语A 李嘉信
TG2ZY044    
</t>
    </r>
    <r>
      <rPr>
        <b/>
        <sz val="10"/>
        <color rgb="FFFF0000"/>
        <rFont val="微软雅黑"/>
        <charset val="134"/>
      </rPr>
      <t>余10</t>
    </r>
  </si>
  <si>
    <t>线上课                  周天</t>
  </si>
  <si>
    <t>地理 王乃全G8DLRJB0005Q4</t>
  </si>
  <si>
    <t>生物 张爽G8SWRJB0002Q4</t>
  </si>
  <si>
    <t>初三寒春班号表</t>
  </si>
  <si>
    <t>寒假原价2520元/科/9节课18小时；春季原价4050元/科/15节课30小时
（扫右方二维码私聊老师了解更多优惠详情）</t>
  </si>
  <si>
    <t>寒假</t>
  </si>
  <si>
    <t>1期
1月31日-2月8日</t>
  </si>
  <si>
    <t>实验C 代欣雨
SY3ZC510</t>
  </si>
  <si>
    <r>
      <rPr>
        <b/>
        <sz val="12"/>
        <color theme="1"/>
        <rFont val="微软雅黑"/>
        <charset val="134"/>
      </rPr>
      <t xml:space="preserve">博文 聂维一
SY3ZW187 
</t>
    </r>
    <r>
      <rPr>
        <b/>
        <sz val="12"/>
        <color rgb="FFFF0000"/>
        <rFont val="微软雅黑"/>
        <charset val="134"/>
      </rPr>
      <t>余3</t>
    </r>
  </si>
  <si>
    <t xml:space="preserve">双语A 李嘉信
SY3ZY670  余6          </t>
  </si>
  <si>
    <t>双语B        
李嘉信
SY3ZY669</t>
  </si>
  <si>
    <t xml:space="preserve">双语A 李嘉信
SY3ZY671            </t>
  </si>
  <si>
    <t>实验P 李小巧
SY3ZP497   
已满班</t>
  </si>
  <si>
    <t>实验P 李小巧
SY3ZP498</t>
  </si>
  <si>
    <t>学习机益智B 张雨碟
TG3ZM496   余8</t>
  </si>
  <si>
    <t>2期
2月10日- 2月28日                   【15-24休息】</t>
  </si>
  <si>
    <t>实验C 代欣雨
SY3ZC530</t>
  </si>
  <si>
    <t>实验P李小巧
SY3ZP519</t>
  </si>
  <si>
    <t>学习机益智A 张雨碟
TG3ZM524</t>
  </si>
  <si>
    <t>每周六
3月7日起</t>
  </si>
  <si>
    <t>实验C 代欣雨
TG3ZC031        
余4</t>
  </si>
  <si>
    <t>实验P 李小巧
TG3ZP027       
余6</t>
  </si>
  <si>
    <t xml:space="preserve">双语A 李嘉信
TG3ZY043     
余7          </t>
  </si>
  <si>
    <t>学习机益智A 张雨碟
TG3ZM552  余6</t>
  </si>
  <si>
    <t xml:space="preserve">双语A 李嘉信
TG3ZY042        
余7      </t>
  </si>
  <si>
    <t xml:space="preserve">博文 聂维一
TG3ZW012       </t>
  </si>
  <si>
    <t>实验P 李小巧
TG3ZP026     
余5</t>
  </si>
  <si>
    <t>双语B 李嘉信
TG3ZY010     
余5</t>
  </si>
  <si>
    <t>学习机益智B     张雨碟
TG3ZM551       
余4</t>
  </si>
  <si>
    <t>每周日
3月8日起</t>
  </si>
  <si>
    <t>实验C 代欣雨
TG3ZC011        
余3</t>
  </si>
  <si>
    <t>实验P李小巧
TG3ZP005        
余4</t>
  </si>
  <si>
    <t>学习机益智A   张雨碟
TG3ZM579    
余5</t>
  </si>
  <si>
    <t>学习机线上-初中 寒春课表</t>
  </si>
  <si>
    <t xml:space="preserve">广州本地会员卡：寒假1期：1月31日-2月7日每天；寒假2期：2月10日-2月14日每天和2月25日-2月28日每天
春季：周五班 3月6日开始 每周五上课；周六班 3月7日开始 每周六上课；周日班 3月8日开始 每周日上课；
集团小科目会员卡：寒假1期：2月2日-2月11日每天；寒假2期：2月12日-2月15日每天和2月23日-2月28日每天 
</t>
  </si>
  <si>
    <r>
      <rPr>
        <b/>
        <sz val="10"/>
        <color rgb="FF000000"/>
        <rFont val="微软雅黑"/>
        <charset val="134"/>
      </rPr>
      <t>寒假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1月31日</t>
    </r>
  </si>
  <si>
    <r>
      <rPr>
        <b/>
        <sz val="10"/>
        <color rgb="FF000000"/>
        <rFont val="微软雅黑"/>
        <charset val="134"/>
      </rPr>
      <t>博文 聂维一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HY3ZW003</t>
    </r>
  </si>
  <si>
    <r>
      <rPr>
        <b/>
        <sz val="10"/>
        <color rgb="FF000000"/>
        <rFont val="微软雅黑"/>
        <charset val="134"/>
      </rPr>
      <t>实验P 钟志斌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HY3ZP005</t>
    </r>
  </si>
  <si>
    <r>
      <rPr>
        <b/>
        <sz val="10"/>
        <color rgb="FF000000"/>
        <rFont val="微软雅黑"/>
        <charset val="134"/>
      </rPr>
      <t>实验C 吴怡彤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HY3ZC005</t>
    </r>
  </si>
  <si>
    <r>
      <rPr>
        <b/>
        <sz val="10"/>
        <color rgb="FF000000"/>
        <rFont val="微软雅黑"/>
        <charset val="134"/>
      </rPr>
      <t>双语 于青平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HY3ZY013</t>
    </r>
  </si>
  <si>
    <r>
      <rPr>
        <b/>
        <sz val="10"/>
        <color rgb="FF000000"/>
        <rFont val="微软雅黑"/>
        <charset val="134"/>
      </rPr>
      <t>双语 于青平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HY3ZY011</t>
    </r>
  </si>
  <si>
    <r>
      <rPr>
        <b/>
        <sz val="10"/>
        <color rgb="FF000000"/>
        <rFont val="微软雅黑"/>
        <charset val="134"/>
      </rPr>
      <t>益智 莫爱华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HY3ZM007</t>
    </r>
  </si>
  <si>
    <r>
      <rPr>
        <b/>
        <sz val="10"/>
        <color rgb="FF000000"/>
        <rFont val="微软雅黑"/>
        <charset val="134"/>
      </rPr>
      <t>益智 莫爱华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HY3ZM009</t>
    </r>
  </si>
  <si>
    <r>
      <rPr>
        <b/>
        <sz val="10"/>
        <color rgb="FF000000"/>
        <rFont val="微软雅黑"/>
        <charset val="134"/>
      </rPr>
      <t>双语 于青平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HY3ZY014</t>
    </r>
  </si>
  <si>
    <r>
      <rPr>
        <b/>
        <sz val="10"/>
        <color theme="1"/>
        <rFont val="微软雅黑"/>
        <charset val="134"/>
      </rPr>
      <t>寒假</t>
    </r>
    <r>
      <rPr>
        <b/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2月2日</t>
    </r>
  </si>
  <si>
    <t>政治  张帆
G9ZZRJB0001Q3</t>
  </si>
  <si>
    <r>
      <rPr>
        <b/>
        <sz val="10"/>
        <color theme="1"/>
        <rFont val="微软雅黑"/>
        <charset val="134"/>
      </rPr>
      <t>历史  冯家钰</t>
    </r>
    <r>
      <rPr>
        <b/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G9LSRJB0001Q3</t>
    </r>
  </si>
  <si>
    <r>
      <rPr>
        <b/>
        <sz val="10"/>
        <color theme="1"/>
        <rFont val="微软雅黑"/>
        <charset val="134"/>
      </rPr>
      <t>政治  张帆</t>
    </r>
    <r>
      <rPr>
        <b/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G9ZZRJB0002Q3</t>
    </r>
  </si>
  <si>
    <r>
      <rPr>
        <b/>
        <sz val="10"/>
        <color theme="1"/>
        <rFont val="微软雅黑"/>
        <charset val="134"/>
      </rPr>
      <t>历史  冯家钰</t>
    </r>
    <r>
      <rPr>
        <b/>
        <sz val="10"/>
        <color theme="1"/>
        <rFont val="微软雅黑"/>
        <charset val="134"/>
      </rPr>
      <t xml:space="preserve">
</t>
    </r>
    <r>
      <rPr>
        <b/>
        <sz val="10"/>
        <color theme="1"/>
        <rFont val="微软雅黑"/>
        <charset val="134"/>
      </rPr>
      <t>G9LSRJB0002Q3</t>
    </r>
  </si>
  <si>
    <r>
      <rPr>
        <b/>
        <sz val="10"/>
        <color rgb="FF000000"/>
        <rFont val="微软雅黑"/>
        <charset val="134"/>
      </rPr>
      <t>寒假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2月10日</t>
    </r>
  </si>
  <si>
    <r>
      <rPr>
        <b/>
        <sz val="10"/>
        <color rgb="FF000000"/>
        <rFont val="微软雅黑"/>
        <charset val="134"/>
      </rPr>
      <t>双语 于青平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HY3ZY015</t>
    </r>
  </si>
  <si>
    <r>
      <rPr>
        <b/>
        <sz val="10"/>
        <color rgb="FF000000"/>
        <rFont val="微软雅黑"/>
        <charset val="134"/>
      </rPr>
      <t>实验P 钟志斌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HY3ZP007</t>
    </r>
  </si>
  <si>
    <r>
      <rPr>
        <b/>
        <sz val="10"/>
        <color rgb="FF000000"/>
        <rFont val="微软雅黑"/>
        <charset val="134"/>
      </rPr>
      <t>益智 莫爱华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HY3ZM010</t>
    </r>
  </si>
  <si>
    <r>
      <rPr>
        <b/>
        <sz val="10"/>
        <color rgb="FF000000"/>
        <rFont val="微软雅黑"/>
        <charset val="134"/>
      </rPr>
      <t>实验C 吴怡彤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HY3ZC007</t>
    </r>
  </si>
  <si>
    <r>
      <rPr>
        <b/>
        <sz val="10"/>
        <color rgb="FF000000"/>
        <rFont val="微软雅黑"/>
        <charset val="134"/>
      </rPr>
      <t>双语 于青平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HY3ZY016</t>
    </r>
  </si>
  <si>
    <r>
      <rPr>
        <b/>
        <sz val="10"/>
        <color rgb="FF000000"/>
        <rFont val="微软雅黑"/>
        <charset val="134"/>
      </rPr>
      <t>寒假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2月12日</t>
    </r>
  </si>
  <si>
    <t>政治  张帆
G9ZZRJB0003Q3</t>
  </si>
  <si>
    <t>历史  冯家钰
G9LSRJB0003Q3</t>
  </si>
  <si>
    <t>政治  张帆
G9ZZRJB0004Q3</t>
  </si>
  <si>
    <r>
      <rPr>
        <b/>
        <sz val="10"/>
        <color rgb="FF000000"/>
        <rFont val="微软雅黑"/>
        <charset val="134"/>
      </rPr>
      <t>历史  冯家钰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G9LSRJB0004Q3</t>
    </r>
  </si>
  <si>
    <r>
      <rPr>
        <b/>
        <sz val="10"/>
        <color rgb="FF000000"/>
        <rFont val="微软雅黑"/>
        <charset val="134"/>
      </rPr>
      <t>春季周六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3月7日</t>
    </r>
  </si>
  <si>
    <r>
      <rPr>
        <b/>
        <sz val="10"/>
        <color rgb="FF000000"/>
        <rFont val="微软雅黑"/>
        <charset val="134"/>
      </rPr>
      <t>博文 聂维一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HY3ZW004</t>
    </r>
  </si>
  <si>
    <r>
      <rPr>
        <b/>
        <sz val="10"/>
        <color rgb="FF000000"/>
        <rFont val="微软雅黑"/>
        <charset val="134"/>
      </rPr>
      <t>实验P 钟志斌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HY3ZP006</t>
    </r>
  </si>
  <si>
    <r>
      <rPr>
        <b/>
        <sz val="10"/>
        <color rgb="FF000000"/>
        <rFont val="微软雅黑"/>
        <charset val="134"/>
      </rPr>
      <t>实验C 吴怡彤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HY3ZC006</t>
    </r>
  </si>
  <si>
    <r>
      <rPr>
        <b/>
        <sz val="10"/>
        <color rgb="FF000000"/>
        <rFont val="微软雅黑"/>
        <charset val="134"/>
      </rPr>
      <t>双语 于青平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HY3ZY017</t>
    </r>
  </si>
  <si>
    <r>
      <rPr>
        <b/>
        <sz val="10"/>
        <color rgb="FF000000"/>
        <rFont val="微软雅黑"/>
        <charset val="134"/>
      </rPr>
      <t>双语 于青平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HY3ZY012</t>
    </r>
  </si>
  <si>
    <r>
      <rPr>
        <b/>
        <sz val="10"/>
        <color rgb="FF000000"/>
        <rFont val="微软雅黑"/>
        <charset val="134"/>
      </rPr>
      <t>益智 莫爱华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HY3ZM008</t>
    </r>
  </si>
  <si>
    <r>
      <rPr>
        <b/>
        <sz val="10"/>
        <color rgb="FF000000"/>
        <rFont val="微软雅黑"/>
        <charset val="134"/>
      </rPr>
      <t>益智 莫爱华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HY3ZM011</t>
    </r>
  </si>
  <si>
    <r>
      <rPr>
        <b/>
        <sz val="10"/>
        <color rgb="FF000000"/>
        <rFont val="微软雅黑"/>
        <charset val="134"/>
      </rPr>
      <t>历史  冯家钰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G9LSRJB0002Q4</t>
    </r>
  </si>
  <si>
    <r>
      <rPr>
        <b/>
        <sz val="10"/>
        <color rgb="FF000000"/>
        <rFont val="微软雅黑"/>
        <charset val="134"/>
      </rPr>
      <t>政治  张帆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G9ZZRJB0001Q4</t>
    </r>
  </si>
  <si>
    <r>
      <rPr>
        <b/>
        <sz val="10"/>
        <color rgb="FF000000"/>
        <rFont val="微软雅黑"/>
        <charset val="134"/>
      </rPr>
      <t>历史  冯家钰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G9LSRJB0001Q4</t>
    </r>
  </si>
  <si>
    <r>
      <rPr>
        <b/>
        <sz val="10"/>
        <color rgb="FF000000"/>
        <rFont val="微软雅黑"/>
        <charset val="134"/>
      </rPr>
      <t>政治  张帆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G9ZZRJB0002Q4</t>
    </r>
  </si>
  <si>
    <r>
      <rPr>
        <b/>
        <sz val="10"/>
        <color rgb="FF000000"/>
        <rFont val="微软雅黑"/>
        <charset val="134"/>
      </rPr>
      <t>春季周日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3月8日</t>
    </r>
  </si>
  <si>
    <r>
      <rPr>
        <b/>
        <sz val="10"/>
        <color rgb="FF000000"/>
        <rFont val="微软雅黑"/>
        <charset val="134"/>
      </rPr>
      <t>双语 于青平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HY3ZY019</t>
    </r>
  </si>
  <si>
    <r>
      <rPr>
        <b/>
        <sz val="10"/>
        <color rgb="FF000000"/>
        <rFont val="微软雅黑"/>
        <charset val="134"/>
      </rPr>
      <t>实验P 钟志斌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HY3ZP008</t>
    </r>
  </si>
  <si>
    <r>
      <rPr>
        <b/>
        <sz val="10"/>
        <color rgb="FF000000"/>
        <rFont val="微软雅黑"/>
        <charset val="134"/>
      </rPr>
      <t>益智 莫爱华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HY3ZM012</t>
    </r>
  </si>
  <si>
    <r>
      <rPr>
        <b/>
        <sz val="10"/>
        <color rgb="FF000000"/>
        <rFont val="微软雅黑"/>
        <charset val="134"/>
      </rPr>
      <t>实验C 吴怡彤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HY3ZC008</t>
    </r>
  </si>
  <si>
    <r>
      <rPr>
        <b/>
        <sz val="10"/>
        <color rgb="FF000000"/>
        <rFont val="微软雅黑"/>
        <charset val="134"/>
      </rPr>
      <t>政治  张帆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G9ZZRJB0003Q4</t>
    </r>
  </si>
  <si>
    <r>
      <rPr>
        <b/>
        <sz val="10"/>
        <color rgb="FF000000"/>
        <rFont val="微软雅黑"/>
        <charset val="134"/>
      </rPr>
      <t>历史  冯家钰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G9LSRJB0003Q4</t>
    </r>
  </si>
  <si>
    <r>
      <rPr>
        <b/>
        <sz val="10"/>
        <color rgb="FF000000"/>
        <rFont val="微软雅黑"/>
        <charset val="134"/>
      </rPr>
      <t>政治  张帆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G9ZZRJB0004Q4</t>
    </r>
  </si>
  <si>
    <r>
      <rPr>
        <b/>
        <sz val="10"/>
        <color rgb="FF000000"/>
        <rFont val="微软雅黑"/>
        <charset val="134"/>
      </rPr>
      <t>历史  冯家钰</t>
    </r>
    <r>
      <rPr>
        <b/>
        <sz val="10"/>
        <color rgb="FF000000"/>
        <rFont val="微软雅黑"/>
        <charset val="134"/>
      </rPr>
      <t xml:space="preserve">
</t>
    </r>
    <r>
      <rPr>
        <b/>
        <sz val="10"/>
        <color rgb="FF000000"/>
        <rFont val="微软雅黑"/>
        <charset val="134"/>
      </rPr>
      <t>G9LSRJB0004Q4</t>
    </r>
  </si>
  <si>
    <t>市桥新初一寒春（超优15人班）班号表</t>
  </si>
  <si>
    <t>寒假：9次课 18小时  2970元
春季：16次课 32小时  5280元
暑假：12次课 24小时  3960元</t>
  </si>
  <si>
    <t>2期
2月10日- 2月28日</t>
  </si>
  <si>
    <t>双语CY 
李嘉信
SY1ZYD050</t>
  </si>
  <si>
    <t>学习机托管CY
李芝惠
TG1ZMD036</t>
  </si>
  <si>
    <t>双语CY 
李嘉信
SY1ZYD049</t>
  </si>
  <si>
    <t>学习机托管CY
李芝惠
TG1ZMD035</t>
  </si>
  <si>
    <t>南沙初一寒春班号表</t>
  </si>
  <si>
    <t>南沙初二寒春班号表</t>
  </si>
  <si>
    <t>1月31日-2月8日</t>
  </si>
  <si>
    <t>双语A
SY1ZY2129</t>
  </si>
  <si>
    <t>学习机益智A
TG1ZM1743</t>
  </si>
  <si>
    <t>学习机益智A
TG2ZM831</t>
  </si>
  <si>
    <t>双语A
SY2ZY1260</t>
  </si>
  <si>
    <t>双语A
SY1ZY2130</t>
  </si>
  <si>
    <t>学习机益智A
TG1ZM1744</t>
  </si>
  <si>
    <t>学习机益智A
TG2ZM832</t>
  </si>
  <si>
    <t>双语A
SY2ZY1261</t>
  </si>
  <si>
    <t>新初一暑秋班号表</t>
  </si>
  <si>
    <t>新初一</t>
  </si>
  <si>
    <t xml:space="preserve"> 6月28日-7月10日
（7月4日休息）</t>
  </si>
  <si>
    <t>实验P（S）
TG1ZPD039         
李小巧
已满班</t>
  </si>
  <si>
    <t>学习机托管（S） TG1ZM2576
张雨碟</t>
  </si>
  <si>
    <t>博文（S）TG1ZW142
聂维一</t>
  </si>
  <si>
    <t xml:space="preserve">双语（S）
TG1ZY235          
李嘉信 
【自购教材】
 已满班     </t>
  </si>
  <si>
    <t xml:space="preserve"> 6月28日-7月10日
</t>
  </si>
  <si>
    <t>实验P（S）
TG1ZPD039         
李小巧</t>
  </si>
  <si>
    <t xml:space="preserve">双语（S）
TG1ZY235          
李嘉信 
【自购教材】       </t>
  </si>
  <si>
    <t>博文（A）
TG1ZW143
 聂维一
已满班</t>
  </si>
  <si>
    <r>
      <t xml:space="preserve">学习机托管（A）TG1ZM2577
张雨碟
</t>
    </r>
    <r>
      <rPr>
        <b/>
        <sz val="10"/>
        <color rgb="FFFF0000"/>
        <rFont val="微软雅黑"/>
        <charset val="134"/>
      </rPr>
      <t>余2</t>
    </r>
  </si>
  <si>
    <t>双语（A）
TG1ZY238 
刘虹   
已满班</t>
  </si>
  <si>
    <t xml:space="preserve">  </t>
  </si>
  <si>
    <t>博文（A）
TG1ZW143
 聂维一</t>
  </si>
  <si>
    <t>学习机托管（A）TG1ZM2577
张雨碟</t>
  </si>
  <si>
    <t xml:space="preserve">双语（A）
TG1ZY238     </t>
  </si>
  <si>
    <r>
      <t xml:space="preserve">双语（A）
TG1ZY669     
李嘉信  
</t>
    </r>
    <r>
      <rPr>
        <b/>
        <sz val="10"/>
        <rFont val="微软雅黑"/>
        <charset val="134"/>
      </rPr>
      <t xml:space="preserve">已满班  </t>
    </r>
  </si>
  <si>
    <t xml:space="preserve">学习机托管（A）
TG1ZM2936
李芝惠      </t>
  </si>
  <si>
    <t>实验P（S）
TG1ZPD115     
李小巧</t>
  </si>
  <si>
    <t xml:space="preserve">双语（A）
TG1ZY669     
李嘉信      </t>
  </si>
  <si>
    <r>
      <t xml:space="preserve">学习机托管（B）
TG1ZM2580
李芝惠
</t>
    </r>
    <r>
      <rPr>
        <b/>
        <sz val="10"/>
        <color rgb="FFFF0000"/>
        <rFont val="微软雅黑"/>
        <charset val="134"/>
      </rPr>
      <t>余6</t>
    </r>
  </si>
  <si>
    <t>双语（B）
TG1ZY241
刘虹
已满班</t>
  </si>
  <si>
    <r>
      <t xml:space="preserve">博文（B）
TG1ZW146
 聂维一
</t>
    </r>
    <r>
      <rPr>
        <b/>
        <sz val="10"/>
        <color rgb="FFFF0000"/>
        <rFont val="微软雅黑"/>
        <charset val="134"/>
      </rPr>
      <t>余9</t>
    </r>
  </si>
  <si>
    <t>学习机托管（B）
TG1ZM2580
李芝惠</t>
  </si>
  <si>
    <t>双语（B）
TG1ZY241</t>
  </si>
  <si>
    <t>博文（B）
TG1ZW146
 聂维一</t>
  </si>
  <si>
    <t xml:space="preserve">7月12日-7月25日 
（7月18-19日休息）      </t>
  </si>
  <si>
    <t>博文（A）
TG1ZW144
 聂维一</t>
  </si>
  <si>
    <r>
      <t xml:space="preserve">学习机托管（A）
TG1ZM2578
张雨碟
</t>
    </r>
    <r>
      <rPr>
        <b/>
        <sz val="10"/>
        <color rgb="FFFF0000"/>
        <rFont val="微软雅黑"/>
        <charset val="134"/>
      </rPr>
      <t>余2</t>
    </r>
  </si>
  <si>
    <r>
      <t xml:space="preserve">双语（A）
TG1ZY236       
李嘉信  
 </t>
    </r>
    <r>
      <rPr>
        <b/>
        <sz val="10"/>
        <color rgb="FFFF0000"/>
        <rFont val="微软雅黑"/>
        <charset val="134"/>
      </rPr>
      <t xml:space="preserve">余9 </t>
    </r>
    <r>
      <rPr>
        <b/>
        <sz val="10"/>
        <rFont val="微软雅黑"/>
        <charset val="134"/>
      </rPr>
      <t xml:space="preserve">  </t>
    </r>
  </si>
  <si>
    <t xml:space="preserve">7月12日-7月25日    </t>
  </si>
  <si>
    <t>学习机托管（A）TG1ZM2578
张雨碟</t>
  </si>
  <si>
    <t xml:space="preserve">双语（A）
TG1ZY236       
李嘉信      </t>
  </si>
  <si>
    <t xml:space="preserve">双语（A）
TG1ZY239 
刘虹     </t>
  </si>
  <si>
    <t xml:space="preserve">双语（A）
TG1ZY239      </t>
  </si>
  <si>
    <t>暑假3期</t>
  </si>
  <si>
    <t xml:space="preserve">7月27日-8月9日   
（8月2-8月3日休息） </t>
  </si>
  <si>
    <r>
      <t xml:space="preserve">学习机托管（A）
TG1ZM2579
张雨碟
</t>
    </r>
    <r>
      <rPr>
        <b/>
        <sz val="10"/>
        <color rgb="FFFF0000"/>
        <rFont val="微软雅黑"/>
        <charset val="134"/>
      </rPr>
      <t>余9</t>
    </r>
  </si>
  <si>
    <t>博文（A）
TG1ZW145
李珣玉</t>
  </si>
  <si>
    <r>
      <t xml:space="preserve">双语（A）
TG1ZY237      
李嘉信 
 </t>
    </r>
    <r>
      <rPr>
        <b/>
        <sz val="10"/>
        <color rgb="FFFF0000"/>
        <rFont val="微软雅黑"/>
        <charset val="134"/>
      </rPr>
      <t xml:space="preserve">余11 </t>
    </r>
    <r>
      <rPr>
        <b/>
        <sz val="10"/>
        <rFont val="微软雅黑"/>
        <charset val="134"/>
      </rPr>
      <t xml:space="preserve">   </t>
    </r>
  </si>
  <si>
    <t xml:space="preserve">7月27日-8月9日      </t>
  </si>
  <si>
    <t>学习机托管（A）
TG1ZM2579
张雨碟</t>
  </si>
  <si>
    <t>博文（A）
TG1ZW145</t>
  </si>
  <si>
    <t xml:space="preserve">双语（A）
TG1ZY237       
李嘉信      </t>
  </si>
  <si>
    <t>双语（A）
TG1ZY240
李嘉信</t>
  </si>
  <si>
    <t>博文（B）
TG1ZW147
 聂维一</t>
  </si>
  <si>
    <r>
      <t xml:space="preserve">学习机托管（B）
TG1ZM2581
李芝惠
</t>
    </r>
    <r>
      <rPr>
        <b/>
        <sz val="10"/>
        <color rgb="FFFF0000"/>
        <rFont val="微软雅黑"/>
        <charset val="134"/>
      </rPr>
      <t>余6</t>
    </r>
  </si>
  <si>
    <r>
      <t xml:space="preserve">双语（B）
TG1ZY242
刘虹
</t>
    </r>
    <r>
      <rPr>
        <b/>
        <sz val="10"/>
        <color rgb="FFFF0000"/>
        <rFont val="微软雅黑"/>
        <charset val="134"/>
      </rPr>
      <t>余3</t>
    </r>
  </si>
  <si>
    <t>学习机托管（B）
TG1ZM2581
李芝惠</t>
  </si>
  <si>
    <t>双语（B）
TG1ZY242</t>
  </si>
  <si>
    <t xml:space="preserve">暑假4期     </t>
  </si>
  <si>
    <r>
      <t>8月11日-8月23日 
（8月17日休息）</t>
    </r>
    <r>
      <rPr>
        <b/>
        <sz val="10"/>
        <color rgb="FF000000"/>
        <rFont val="微软雅黑"/>
        <charset val="134"/>
      </rPr>
      <t xml:space="preserve">   </t>
    </r>
  </si>
  <si>
    <t>博文（B）
TG1ZW148
李珣玉</t>
  </si>
  <si>
    <r>
      <t xml:space="preserve">双语（B）
TG1ZY243    
刘虹
</t>
    </r>
    <r>
      <rPr>
        <b/>
        <sz val="10"/>
        <color rgb="FFFF0000"/>
        <rFont val="微软雅黑"/>
        <charset val="134"/>
      </rPr>
      <t>余1</t>
    </r>
    <r>
      <rPr>
        <b/>
        <sz val="10"/>
        <color theme="1"/>
        <rFont val="微软雅黑"/>
        <charset val="134"/>
      </rPr>
      <t xml:space="preserve">
</t>
    </r>
  </si>
  <si>
    <r>
      <t xml:space="preserve">学习机托管（B）
TG1ZM2582
张雨碟
</t>
    </r>
    <r>
      <rPr>
        <b/>
        <sz val="10"/>
        <color rgb="FFFF0000"/>
        <rFont val="微软雅黑"/>
        <charset val="134"/>
      </rPr>
      <t>余10</t>
    </r>
  </si>
  <si>
    <t xml:space="preserve">双语（A）
TG1ZY671    
刘虹     </t>
  </si>
  <si>
    <r>
      <rPr>
        <b/>
        <sz val="10"/>
        <color rgb="FFFF0000"/>
        <rFont val="微软雅黑"/>
        <charset val="134"/>
      </rPr>
      <t>8月11日-8月23日</t>
    </r>
    <r>
      <rPr>
        <b/>
        <sz val="10"/>
        <color rgb="FF000000"/>
        <rFont val="微软雅黑"/>
        <charset val="134"/>
      </rPr>
      <t xml:space="preserve">    </t>
    </r>
  </si>
  <si>
    <t>博文（B）
TG1ZW148</t>
  </si>
  <si>
    <t>双语（B）
TG1ZY243</t>
  </si>
  <si>
    <t>学习机托管（B）TG1ZM2582
张雨碟</t>
  </si>
  <si>
    <t>9月5日起        每周六</t>
  </si>
  <si>
    <t>博文（S）TG1ZW326
聂维一</t>
  </si>
  <si>
    <t>学习机托管（S） TG1ZM2777
张雨碟</t>
  </si>
  <si>
    <t>实验P（S）
TG1ZPD077          李小巧</t>
  </si>
  <si>
    <t xml:space="preserve">双语（S）
TG1ZY464        
李嘉信
【自购教材】       </t>
  </si>
  <si>
    <t>学习机托管（A）
TG1ZM2778
张雨碟</t>
  </si>
  <si>
    <t>博文（A）
TG1ZW327
 聂维一</t>
  </si>
  <si>
    <r>
      <t xml:space="preserve">双语（A）
TG1ZY465        
李嘉信   
</t>
    </r>
    <r>
      <rPr>
        <b/>
        <sz val="10"/>
        <color rgb="FFFF0000"/>
        <rFont val="微软雅黑"/>
        <charset val="134"/>
      </rPr>
      <t>余3</t>
    </r>
    <r>
      <rPr>
        <b/>
        <sz val="10"/>
        <rFont val="微软雅黑"/>
        <charset val="134"/>
      </rPr>
      <t xml:space="preserve"> </t>
    </r>
  </si>
  <si>
    <t xml:space="preserve">双语（A）
TG1ZY466
刘虹    </t>
  </si>
  <si>
    <t>实验P（S）
TG1ZPD116       
李小巧</t>
  </si>
  <si>
    <t>学习机托管（A）TG1ZM2778
张雨碟</t>
  </si>
  <si>
    <t xml:space="preserve">双语（A）
TG1ZY465        李嘉信      </t>
  </si>
  <si>
    <t xml:space="preserve">双语（A）
TG1ZY466    </t>
  </si>
  <si>
    <t>学习机托管（B）
TG1ZM2780
李芝惠</t>
  </si>
  <si>
    <t>双语（B）
TG1ZY468
刘虹</t>
  </si>
  <si>
    <t>学习机托管（B）
TG1ZM2781
张雨碟</t>
  </si>
  <si>
    <t>博文（B）
TG1ZW329
 聂维一</t>
  </si>
  <si>
    <t>双语（B）
TG1ZY468</t>
  </si>
  <si>
    <t>学习机托管（B）TG1ZM2781
张雨碟</t>
  </si>
  <si>
    <t>9月6日起        每周日</t>
  </si>
  <si>
    <t xml:space="preserve">双语（A）
TG1ZY670         
李嘉信        </t>
  </si>
  <si>
    <t>学习机托管（A） 
TG1ZM2937
李芝惠</t>
  </si>
  <si>
    <t>学习机托管（A） 
TG1ZM2776
李芝惠</t>
  </si>
  <si>
    <t xml:space="preserve">双语（A）
TG1ZY672        
刘虹  </t>
  </si>
  <si>
    <t>博文（A）
TG1ZW328
李珣玉</t>
  </si>
  <si>
    <t>学习机托管（A）
TG1ZM2779
张雨碟</t>
  </si>
  <si>
    <t>双语（A）
TG1ZY467 
刘虹</t>
  </si>
  <si>
    <t>博文（A）
TG1ZW330</t>
  </si>
  <si>
    <t xml:space="preserve">双语（A）
TG1ZY467 </t>
  </si>
  <si>
    <r>
      <t xml:space="preserve">双语（B）
TG1ZY469
刘虹
</t>
    </r>
    <r>
      <rPr>
        <b/>
        <sz val="10"/>
        <color rgb="FFFF0000"/>
        <rFont val="微软雅黑"/>
        <charset val="134"/>
      </rPr>
      <t>余2</t>
    </r>
  </si>
  <si>
    <t>博文（B）
TG1ZW330
李珣玉</t>
  </si>
  <si>
    <t>双语（B）
TG1ZY469</t>
  </si>
  <si>
    <t>博文（B）
TG1ZW330</t>
  </si>
  <si>
    <t>7月12日-7月25日(7月18,19日休息)</t>
  </si>
  <si>
    <r>
      <t xml:space="preserve">学习机托管A
李芝惠
TG2ZM1125
</t>
    </r>
    <r>
      <rPr>
        <b/>
        <sz val="10"/>
        <color rgb="FFFF0000"/>
        <rFont val="微软雅黑"/>
        <charset val="134"/>
      </rPr>
      <t>余5</t>
    </r>
  </si>
  <si>
    <r>
      <t xml:space="preserve">双语A 
李嘉信
TG2ZY157 
</t>
    </r>
    <r>
      <rPr>
        <b/>
        <sz val="10"/>
        <color rgb="FFFF0000"/>
        <rFont val="微软雅黑"/>
        <charset val="134"/>
      </rPr>
      <t>余5</t>
    </r>
  </si>
  <si>
    <r>
      <t xml:space="preserve">学习机托管A
张雨碟
TG2ZM1127
</t>
    </r>
    <r>
      <rPr>
        <b/>
        <sz val="10"/>
        <color rgb="FFFF0000"/>
        <rFont val="微软雅黑"/>
        <charset val="134"/>
      </rPr>
      <t>余10</t>
    </r>
  </si>
  <si>
    <r>
      <rPr>
        <b/>
        <sz val="10"/>
        <rFont val="微软雅黑"/>
        <charset val="134"/>
      </rPr>
      <t xml:space="preserve">博文A 
聂维一
TG2ZW071
</t>
    </r>
    <r>
      <rPr>
        <b/>
        <sz val="10"/>
        <color rgb="FFFF0000"/>
        <rFont val="微软雅黑"/>
        <charset val="134"/>
      </rPr>
      <t>余7</t>
    </r>
  </si>
  <si>
    <r>
      <t xml:space="preserve">实验P（A）   
李小巧
TG2ZP088 
</t>
    </r>
    <r>
      <rPr>
        <b/>
        <sz val="10"/>
        <color rgb="FFFF0000"/>
        <rFont val="微软雅黑"/>
        <charset val="134"/>
      </rPr>
      <t>余7</t>
    </r>
  </si>
  <si>
    <r>
      <rPr>
        <b/>
        <sz val="10"/>
        <rFont val="微软雅黑"/>
        <charset val="134"/>
      </rPr>
      <t xml:space="preserve">双语A 
杨淼 
TG2ZY160 
</t>
    </r>
    <r>
      <rPr>
        <b/>
        <sz val="10"/>
        <color rgb="FFFF0000"/>
        <rFont val="微软雅黑"/>
        <charset val="134"/>
      </rPr>
      <t>余8</t>
    </r>
  </si>
  <si>
    <t>实验P（S）        
李小巧
TG2ZP087</t>
  </si>
  <si>
    <t>双语A 
杨淼 
TG2ZY159 
已满班</t>
  </si>
  <si>
    <r>
      <rPr>
        <b/>
        <sz val="10"/>
        <rFont val="微软雅黑"/>
        <charset val="134"/>
      </rPr>
      <t xml:space="preserve">双语B 
杨淼 
TG2ZY162
</t>
    </r>
    <r>
      <rPr>
        <b/>
        <sz val="10"/>
        <color rgb="FFFF0000"/>
        <rFont val="微软雅黑"/>
        <charset val="134"/>
      </rPr>
      <t>余5</t>
    </r>
  </si>
  <si>
    <t>学习机托管B
李芝惠
TG2ZM1128</t>
  </si>
  <si>
    <t>8月11日-8月23日(8月17日休息)</t>
  </si>
  <si>
    <t xml:space="preserve">双语（S）
杨淼
TG2ZY156                </t>
  </si>
  <si>
    <t xml:space="preserve">学习机托管（S）
李芝惠
TG2ZM1124
</t>
  </si>
  <si>
    <t>博文（S） 
聂维一
TG2ZW070</t>
  </si>
  <si>
    <t>博文A 
聂维一
TG2ZW072</t>
  </si>
  <si>
    <r>
      <t xml:space="preserve">实验P (A)
李小巧
TG2ZP090  
</t>
    </r>
    <r>
      <rPr>
        <b/>
        <sz val="10"/>
        <color rgb="FFFF0000"/>
        <rFont val="微软雅黑"/>
        <charset val="134"/>
      </rPr>
      <t>余1</t>
    </r>
  </si>
  <si>
    <r>
      <t xml:space="preserve">学习机托管A
李芝惠
TG2ZM1126
</t>
    </r>
    <r>
      <rPr>
        <b/>
        <sz val="10"/>
        <color rgb="FFFF0000"/>
        <rFont val="微软雅黑"/>
        <charset val="134"/>
      </rPr>
      <t>余6</t>
    </r>
  </si>
  <si>
    <r>
      <t xml:space="preserve">双语A 
李嘉信
TG2ZY158
</t>
    </r>
    <r>
      <rPr>
        <b/>
        <sz val="10"/>
        <color rgb="FFFF0000"/>
        <rFont val="微软雅黑"/>
        <charset val="134"/>
      </rPr>
      <t>余9</t>
    </r>
  </si>
  <si>
    <t xml:space="preserve">实验P (A)
李小巧
TG2ZP089  </t>
  </si>
  <si>
    <t>双语A 
杨淼 
TG2ZY161 
已满班</t>
  </si>
  <si>
    <t>周六
9月5日</t>
  </si>
  <si>
    <t xml:space="preserve">学习机托管A
李芝惠
TG2ZM1237
</t>
  </si>
  <si>
    <r>
      <t xml:space="preserve">双语A 
李嘉信
TG2ZY323 
</t>
    </r>
    <r>
      <rPr>
        <b/>
        <sz val="10"/>
        <color rgb="FFFF0000"/>
        <rFont val="微软雅黑"/>
        <charset val="134"/>
      </rPr>
      <t>余8</t>
    </r>
  </si>
  <si>
    <t xml:space="preserve">学习机托管A
张雨碟
TG2ZM1239
</t>
  </si>
  <si>
    <t xml:space="preserve">博文A 
聂维一
TG2ZW152
</t>
  </si>
  <si>
    <t xml:space="preserve">实验P（A）   
李小巧
TG2ZP177 </t>
  </si>
  <si>
    <r>
      <t xml:space="preserve">双语A 
杨淼
TG2ZY326
</t>
    </r>
    <r>
      <rPr>
        <b/>
        <sz val="10"/>
        <color rgb="FFFF0000"/>
        <rFont val="微软雅黑"/>
        <charset val="134"/>
      </rPr>
      <t>余10</t>
    </r>
  </si>
  <si>
    <t>实验P（S）
李小巧
TG2ZP176</t>
  </si>
  <si>
    <r>
      <t xml:space="preserve">双语A 
杨淼 
TG2ZY325 
</t>
    </r>
    <r>
      <rPr>
        <b/>
        <sz val="10"/>
        <color rgb="FFFF0000"/>
        <rFont val="微软雅黑"/>
        <charset val="134"/>
      </rPr>
      <t>余3</t>
    </r>
  </si>
  <si>
    <t xml:space="preserve">双语B 
杨淼 
TG2ZY328 </t>
  </si>
  <si>
    <t>学习机托管B
李芝惠
TG2ZM1240</t>
  </si>
  <si>
    <t>周日
9月6日</t>
  </si>
  <si>
    <t xml:space="preserve">双语（S）
杨淼 
TG2ZY322           </t>
  </si>
  <si>
    <t xml:space="preserve">学习机托管（S）
李芝惠
TG2ZM1236
</t>
  </si>
  <si>
    <t>博文（S） 
聂维一
TG2ZW151</t>
  </si>
  <si>
    <r>
      <t xml:space="preserve">双语A 
李嘉信
TG2ZY324
</t>
    </r>
    <r>
      <rPr>
        <b/>
        <sz val="10"/>
        <color rgb="FFFF0000"/>
        <rFont val="微软雅黑"/>
        <charset val="134"/>
      </rPr>
      <t>余8</t>
    </r>
  </si>
  <si>
    <t xml:space="preserve">实验P（A） 
李小巧
TG2ZP178  </t>
  </si>
  <si>
    <t xml:space="preserve">实验P（A） 
李小巧
TG2ZP179 </t>
  </si>
  <si>
    <t>学习机托管A
李芝惠
TG2ZM1238</t>
  </si>
  <si>
    <t>博文A 
聂维一
TG2ZW153</t>
  </si>
  <si>
    <t xml:space="preserve">双语A 
杨淼 
TG2ZY327 
</t>
  </si>
  <si>
    <t>7月12日-7月25日（7.18-7.19休）</t>
  </si>
  <si>
    <t>博文（A）
聂维一 
TG3ZW037</t>
  </si>
  <si>
    <t>双语A
杨淼
TG3ZY096   
已满班</t>
  </si>
  <si>
    <t>实验C 
马圣东
TG3ZC065</t>
  </si>
  <si>
    <r>
      <t xml:space="preserve">学习机托管（A）
李芝惠
TG3ZM779
</t>
    </r>
    <r>
      <rPr>
        <b/>
        <sz val="10"/>
        <color rgb="FFFF0000"/>
        <rFont val="微软雅黑"/>
        <charset val="134"/>
      </rPr>
      <t>余6</t>
    </r>
  </si>
  <si>
    <r>
      <t xml:space="preserve">实验P（S) 
李小巧  
TG3ZP068
</t>
    </r>
    <r>
      <rPr>
        <b/>
        <sz val="10"/>
        <color rgb="FFFF0000"/>
        <rFont val="微软雅黑"/>
        <charset val="134"/>
      </rPr>
      <t>余2</t>
    </r>
  </si>
  <si>
    <t xml:space="preserve">双语A 
杨淼
TG3ZY097 </t>
  </si>
  <si>
    <t>8月11日-8月23日
(8月17日休息)</t>
  </si>
  <si>
    <r>
      <t xml:space="preserve">学习机托管（B）
李芝惠
TG3ZM782
</t>
    </r>
    <r>
      <rPr>
        <b/>
        <sz val="10"/>
        <color rgb="FFFF0000"/>
        <rFont val="微软雅黑"/>
        <charset val="134"/>
      </rPr>
      <t>余8</t>
    </r>
  </si>
  <si>
    <t>双语A
杨淼
TG3ZY098  
已满班</t>
  </si>
  <si>
    <t>实验C 
马圣东
TG3ZC066</t>
  </si>
  <si>
    <r>
      <t xml:space="preserve">双语A 
李嘉信
TG3ZY095 
 </t>
    </r>
    <r>
      <rPr>
        <b/>
        <sz val="10"/>
        <color rgb="FFFF0000"/>
        <rFont val="微软雅黑"/>
        <charset val="134"/>
      </rPr>
      <t>余8</t>
    </r>
  </si>
  <si>
    <r>
      <t xml:space="preserve">实验P（A） 
李小巧
TG3ZP069
</t>
    </r>
    <r>
      <rPr>
        <b/>
        <sz val="10"/>
        <color rgb="FFFF0000"/>
        <rFont val="微软雅黑"/>
        <charset val="134"/>
      </rPr>
      <t>余3</t>
    </r>
  </si>
  <si>
    <t>学习机托管A
张雨碟
TG3ZM781</t>
  </si>
  <si>
    <t>学习机托管（A）
张雨碟
TG3ZM780</t>
  </si>
  <si>
    <t>实验C 
马圣东
TG3ZC067</t>
  </si>
  <si>
    <t xml:space="preserve">双语B 
杨淼
TG3ZY294  </t>
  </si>
  <si>
    <t xml:space="preserve">博文（A）  
聂维一
TG3ZW036 </t>
  </si>
  <si>
    <r>
      <t xml:space="preserve">双语A 
杨淼
TG3ZY200  
</t>
    </r>
    <r>
      <rPr>
        <b/>
        <sz val="10"/>
        <color theme="1"/>
        <rFont val="微软雅黑"/>
        <charset val="134"/>
      </rPr>
      <t>已满班</t>
    </r>
  </si>
  <si>
    <t>实验C 
马圣东
TG3ZC128</t>
  </si>
  <si>
    <t xml:space="preserve">学习机托管（A）
李芝惠
TG3ZM861
</t>
  </si>
  <si>
    <t xml:space="preserve">实验P（S) 
李小巧  
TG3ZP129
</t>
  </si>
  <si>
    <t>双语A 
杨淼
TG3ZY201</t>
  </si>
  <si>
    <t xml:space="preserve">博文（A） 
聂维一
TG3ZW082
</t>
  </si>
  <si>
    <t xml:space="preserve">                                                                                                                                                                      </t>
  </si>
  <si>
    <t>学习机托管（B）
李芝惠
TG3ZM864</t>
  </si>
  <si>
    <t>实验C 
马圣东
TG3ZC129</t>
  </si>
  <si>
    <r>
      <rPr>
        <b/>
        <sz val="10"/>
        <rFont val="微软雅黑"/>
        <charset val="134"/>
      </rPr>
      <t xml:space="preserve">双语A 
李嘉信
TG3ZY199
</t>
    </r>
    <r>
      <rPr>
        <b/>
        <sz val="10"/>
        <color rgb="FFFF0000"/>
        <rFont val="微软雅黑"/>
        <charset val="134"/>
      </rPr>
      <t xml:space="preserve">余10 </t>
    </r>
  </si>
  <si>
    <t>实验P（A） 
李小巧
TG3ZP130</t>
  </si>
  <si>
    <t>学习机托管A
张雨碟
TG3ZM863</t>
  </si>
  <si>
    <t>学习机托管（A）
张雨碟
TG3ZM862</t>
  </si>
  <si>
    <t>实验C 马圣东
TG3ZC130</t>
  </si>
  <si>
    <t xml:space="preserve">双语B 杨淼
TG3ZY295  </t>
  </si>
  <si>
    <t>博文（A）  
聂维一
TG3ZW081</t>
  </si>
  <si>
    <t>博文（A）
陈冬丽  
TG3ZW037</t>
  </si>
  <si>
    <r>
      <rPr>
        <b/>
        <sz val="10"/>
        <rFont val="微软雅黑"/>
        <charset val="134"/>
      </rPr>
      <t xml:space="preserve">双语A
杨淼
TG3ZY096   
</t>
    </r>
    <r>
      <rPr>
        <b/>
        <sz val="10"/>
        <color rgb="FFFF0000"/>
        <rFont val="微软雅黑"/>
        <charset val="134"/>
      </rPr>
      <t>余2</t>
    </r>
  </si>
  <si>
    <t>学习机托管（A）
李芝惠
TG3ZM779</t>
  </si>
  <si>
    <r>
      <rPr>
        <b/>
        <sz val="10"/>
        <rFont val="微软雅黑"/>
        <charset val="134"/>
      </rPr>
      <t xml:space="preserve">实验P（S) 
李小巧  
TG3ZP068
</t>
    </r>
    <r>
      <rPr>
        <b/>
        <sz val="10"/>
        <color rgb="FFFF0000"/>
        <rFont val="微软雅黑"/>
        <charset val="134"/>
      </rPr>
      <t>余5</t>
    </r>
  </si>
  <si>
    <r>
      <rPr>
        <b/>
        <sz val="10"/>
        <rFont val="微软雅黑"/>
        <charset val="134"/>
      </rPr>
      <t xml:space="preserve">学习机托管（B）
李芝惠
TG3ZM782
</t>
    </r>
    <r>
      <rPr>
        <b/>
        <sz val="10"/>
        <color rgb="FFFF0000"/>
        <rFont val="微软雅黑"/>
        <charset val="134"/>
      </rPr>
      <t>余8</t>
    </r>
  </si>
  <si>
    <r>
      <rPr>
        <b/>
        <sz val="10"/>
        <rFont val="微软雅黑"/>
        <charset val="134"/>
      </rPr>
      <t xml:space="preserve">双语A 
李嘉信
TG3ZY095 
</t>
    </r>
    <r>
      <rPr>
        <b/>
        <sz val="10"/>
        <color rgb="FFFF0000"/>
        <rFont val="微软雅黑"/>
        <charset val="134"/>
      </rPr>
      <t xml:space="preserve">余8 </t>
    </r>
  </si>
  <si>
    <r>
      <rPr>
        <b/>
        <sz val="10"/>
        <rFont val="微软雅黑"/>
        <charset val="134"/>
      </rPr>
      <t xml:space="preserve">实验P（A） 
李小巧
TG3ZP069
</t>
    </r>
    <r>
      <rPr>
        <b/>
        <sz val="10"/>
        <color rgb="FFFF0000"/>
        <rFont val="微软雅黑"/>
        <charset val="134"/>
      </rPr>
      <t>余12</t>
    </r>
  </si>
  <si>
    <r>
      <rPr>
        <b/>
        <sz val="10"/>
        <rFont val="微软雅黑"/>
        <charset val="134"/>
      </rPr>
      <t xml:space="preserve">双语A 
杨淼
TG3ZY200  
</t>
    </r>
    <r>
      <rPr>
        <b/>
        <sz val="10"/>
        <color rgb="FFFF0000"/>
        <rFont val="微软雅黑"/>
        <charset val="134"/>
      </rPr>
      <t>余2</t>
    </r>
  </si>
  <si>
    <t xml:space="preserve">博文（A） 
陈冬丽
TG3ZW082
</t>
  </si>
  <si>
    <t xml:space="preserve">双语A 
李嘉信
TG3ZY199 </t>
  </si>
  <si>
    <r>
      <t xml:space="preserve">实验P（S）
TG1ZPD039         
李小巧
</t>
    </r>
    <r>
      <rPr>
        <b/>
        <sz val="10"/>
        <color rgb="FFFF0000"/>
        <rFont val="微软雅黑"/>
        <charset val="134"/>
      </rPr>
      <t>余2</t>
    </r>
  </si>
  <si>
    <r>
      <rPr>
        <b/>
        <sz val="10"/>
        <rFont val="微软雅黑"/>
        <charset val="134"/>
      </rPr>
      <t xml:space="preserve">双语（S）
TG1ZY235          
李嘉信 
【自购教材】
 </t>
    </r>
    <r>
      <rPr>
        <b/>
        <sz val="10"/>
        <color rgb="FFFF0000"/>
        <rFont val="微软雅黑"/>
        <charset val="134"/>
      </rPr>
      <t xml:space="preserve">余3 </t>
    </r>
    <r>
      <rPr>
        <b/>
        <sz val="10"/>
        <rFont val="微软雅黑"/>
        <charset val="134"/>
      </rPr>
      <t xml:space="preserve">     </t>
    </r>
  </si>
  <si>
    <r>
      <t xml:space="preserve">学习机托管（A）TG1ZM2577
张雨碟
</t>
    </r>
    <r>
      <rPr>
        <b/>
        <sz val="10"/>
        <color rgb="FFFF0000"/>
        <rFont val="微软雅黑"/>
        <charset val="134"/>
      </rPr>
      <t>余5</t>
    </r>
  </si>
  <si>
    <r>
      <t xml:space="preserve">双语（A）
TG1ZY669     
李嘉信  
</t>
    </r>
    <r>
      <rPr>
        <b/>
        <sz val="10"/>
        <color rgb="FFFF0000"/>
        <rFont val="微软雅黑"/>
        <charset val="134"/>
      </rPr>
      <t xml:space="preserve">余2 </t>
    </r>
    <r>
      <rPr>
        <b/>
        <sz val="10"/>
        <rFont val="微软雅黑"/>
        <charset val="134"/>
      </rPr>
      <t xml:space="preserve">  </t>
    </r>
  </si>
  <si>
    <r>
      <t xml:space="preserve">学习机托管（B）
TG1ZM2580
李芝惠
</t>
    </r>
    <r>
      <rPr>
        <b/>
        <sz val="10"/>
        <color rgb="FFFF0000"/>
        <rFont val="微软雅黑"/>
        <charset val="134"/>
      </rPr>
      <t>余4</t>
    </r>
  </si>
  <si>
    <t xml:space="preserve">7月12日-7月25日 
（7月18-19日休息）   </t>
  </si>
  <si>
    <r>
      <t xml:space="preserve">学习机托管（A）TG1ZM2578
张雨碟
</t>
    </r>
    <r>
      <rPr>
        <b/>
        <sz val="10"/>
        <color rgb="FFFF0000"/>
        <rFont val="微软雅黑"/>
        <charset val="134"/>
      </rPr>
      <t>余7</t>
    </r>
  </si>
  <si>
    <t xml:space="preserve">双语（A）
TG1ZY237      
李嘉信      </t>
  </si>
  <si>
    <r>
      <t xml:space="preserve">双语（B）
TG1ZY242
刘虹
</t>
    </r>
    <r>
      <rPr>
        <b/>
        <sz val="10"/>
        <color rgb="FFFF0000"/>
        <rFont val="微软雅黑"/>
        <charset val="134"/>
      </rPr>
      <t>余6</t>
    </r>
  </si>
  <si>
    <t xml:space="preserve">双语（B）
TG1ZY243
刘虹
已满班
</t>
  </si>
  <si>
    <t xml:space="preserve">博文（A）
TG1ZW327
 </t>
  </si>
  <si>
    <r>
      <t xml:space="preserve">双语（A）
TG1ZY465        
李嘉信   
</t>
    </r>
    <r>
      <rPr>
        <b/>
        <sz val="10"/>
        <color rgb="FFFF0000"/>
        <rFont val="微软雅黑"/>
        <charset val="134"/>
      </rPr>
      <t>余5</t>
    </r>
    <r>
      <rPr>
        <b/>
        <sz val="10"/>
        <rFont val="微软雅黑"/>
        <charset val="134"/>
      </rPr>
      <t xml:space="preserve">  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</si>
</sst>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76">
    <font>
      <sz val="11"/>
      <color theme="1"/>
      <name val="宋体"/>
      <charset val="134"/>
      <scheme val="minor"/>
    </font>
    <font>
      <b/>
      <sz val="14"/>
      <name val="微软雅黑"/>
      <charset val="134"/>
    </font>
    <font>
      <b/>
      <sz val="11"/>
      <color rgb="FF000000"/>
      <name val="微软雅黑"/>
      <charset val="134"/>
    </font>
    <font>
      <b/>
      <sz val="10"/>
      <color rgb="FF000000"/>
      <name val="微软雅黑"/>
      <charset val="134"/>
    </font>
    <font>
      <b/>
      <sz val="10"/>
      <name val="微软雅黑"/>
      <charset val="134"/>
    </font>
    <font>
      <b/>
      <sz val="11"/>
      <name val="微软雅黑"/>
      <charset val="134"/>
    </font>
    <font>
      <b/>
      <sz val="10"/>
      <color rgb="FFFF0000"/>
      <name val="微软雅黑"/>
      <charset val="134"/>
    </font>
    <font>
      <b/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color theme="1"/>
      <name val="宋体"/>
      <charset val="134"/>
      <scheme val="minor"/>
    </font>
    <font>
      <sz val="9"/>
      <color rgb="FF000000"/>
      <name val="微软雅黑"/>
      <charset val="134"/>
    </font>
    <font>
      <b/>
      <sz val="10"/>
      <color theme="0"/>
      <name val="微软雅黑"/>
      <charset val="134"/>
    </font>
    <font>
      <b/>
      <sz val="20"/>
      <name val="微软雅黑"/>
      <charset val="134"/>
    </font>
    <font>
      <sz val="12"/>
      <color rgb="FF000000"/>
      <name val="微软雅黑"/>
      <charset val="134"/>
    </font>
    <font>
      <b/>
      <sz val="12"/>
      <name val="微软雅黑"/>
      <charset val="134"/>
    </font>
    <font>
      <b/>
      <sz val="12"/>
      <color theme="1"/>
      <name val="微软雅黑"/>
      <charset val="134"/>
    </font>
    <font>
      <b/>
      <sz val="12"/>
      <color rgb="FFFF0000"/>
      <name val="微软雅黑"/>
      <charset val="134"/>
    </font>
    <font>
      <b/>
      <sz val="12"/>
      <color theme="0"/>
      <name val="微软雅黑"/>
      <charset val="134"/>
    </font>
    <font>
      <b/>
      <sz val="20"/>
      <color rgb="FF028458"/>
      <name val="微软雅黑"/>
      <charset val="134"/>
    </font>
    <font>
      <b/>
      <sz val="10"/>
      <color rgb="FFFFFFFF"/>
      <name val="微软雅黑"/>
      <charset val="134"/>
    </font>
    <font>
      <b/>
      <sz val="10"/>
      <color theme="1" tint="0.15"/>
      <name val="微软雅黑"/>
      <charset val="134"/>
    </font>
    <font>
      <sz val="10"/>
      <name val="微软雅黑"/>
      <charset val="134"/>
    </font>
    <font>
      <sz val="9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rgb="FF000000"/>
      <name val="微软雅黑"/>
      <charset val="134"/>
    </font>
    <font>
      <sz val="8"/>
      <color rgb="FF000000"/>
      <name val="微软雅黑"/>
      <charset val="134"/>
    </font>
    <font>
      <b/>
      <sz val="9"/>
      <name val="微软雅黑"/>
      <charset val="134"/>
    </font>
    <font>
      <b/>
      <sz val="9"/>
      <color rgb="FFFF0000"/>
      <name val="微软雅黑"/>
      <charset val="134"/>
    </font>
    <font>
      <b/>
      <sz val="9"/>
      <color theme="0"/>
      <name val="微软雅黑"/>
      <charset val="134"/>
    </font>
    <font>
      <sz val="9"/>
      <color theme="0"/>
      <name val="微软雅黑"/>
      <charset val="134"/>
    </font>
    <font>
      <b/>
      <sz val="10"/>
      <color theme="9" tint="-0.249977111117893"/>
      <name val="微软雅黑"/>
      <charset val="134"/>
    </font>
    <font>
      <u/>
      <sz val="11"/>
      <color theme="1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6"/>
      <name val="微软雅黑"/>
      <charset val="134"/>
    </font>
    <font>
      <b/>
      <sz val="14"/>
      <color rgb="FF000000"/>
      <name val="微软雅黑"/>
      <charset val="134"/>
    </font>
    <font>
      <b/>
      <sz val="11"/>
      <color rgb="FFFF0000"/>
      <name val="微软雅黑"/>
      <charset val="134"/>
    </font>
    <font>
      <b/>
      <sz val="11"/>
      <color theme="0"/>
      <name val="微软雅黑"/>
      <charset val="134"/>
    </font>
    <font>
      <sz val="11"/>
      <color theme="0"/>
      <name val="微软雅黑"/>
      <charset val="134"/>
    </font>
    <font>
      <sz val="11"/>
      <color rgb="FF000000"/>
      <name val="微软雅黑"/>
      <charset val="134"/>
    </font>
    <font>
      <b/>
      <sz val="11"/>
      <color theme="9" tint="-0.249977111117893"/>
      <name val="微软雅黑"/>
      <charset val="134"/>
    </font>
    <font>
      <sz val="18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28"/>
      <name val="微软雅黑"/>
      <charset val="134"/>
    </font>
    <font>
      <b/>
      <sz val="22"/>
      <color rgb="FF000000"/>
      <name val="微软雅黑"/>
      <charset val="134"/>
    </font>
    <font>
      <b/>
      <sz val="28"/>
      <color rgb="FF000000"/>
      <name val="微软雅黑"/>
      <charset val="134"/>
    </font>
    <font>
      <b/>
      <sz val="14"/>
      <color theme="0"/>
      <name val="微软雅黑"/>
      <charset val="134"/>
    </font>
    <font>
      <b/>
      <sz val="12"/>
      <color rgb="FF000000"/>
      <name val="微软雅黑"/>
      <charset val="134"/>
    </font>
    <font>
      <b/>
      <sz val="28"/>
      <color theme="1"/>
      <name val="微软雅黑"/>
      <charset val="134"/>
    </font>
    <font>
      <sz val="14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4"/>
      <color theme="1"/>
      <name val="微软雅黑"/>
      <charset val="134"/>
    </font>
    <font>
      <b/>
      <sz val="20"/>
      <color rgb="FF000000"/>
      <name val="微软雅黑"/>
      <charset val="134"/>
    </font>
    <font>
      <b/>
      <sz val="14"/>
      <color rgb="FFFFFF00"/>
      <name val="微软雅黑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4"/>
      <color rgb="FFFF0000"/>
      <name val="微软雅黑"/>
      <charset val="134"/>
    </font>
    <font>
      <b/>
      <sz val="6"/>
      <name val="微软雅黑"/>
      <charset val="134"/>
    </font>
    <font>
      <sz val="11"/>
      <color rgb="FFFF0000"/>
      <name val="宋体"/>
      <charset val="134"/>
      <scheme val="minor"/>
    </font>
  </fonts>
  <fills count="56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028458"/>
        <bgColor indexed="64"/>
      </patternFill>
    </fill>
    <fill>
      <patternFill patternType="solid">
        <fgColor rgb="FFFE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4" tint="-0.25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36" borderId="42" applyNumberFormat="0" applyFont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9" fillId="0" borderId="43" applyNumberFormat="0" applyFill="0" applyAlignment="0" applyProtection="0">
      <alignment vertical="center"/>
    </xf>
    <xf numFmtId="0" fontId="60" fillId="0" borderId="43" applyNumberFormat="0" applyFill="0" applyAlignment="0" applyProtection="0">
      <alignment vertical="center"/>
    </xf>
    <xf numFmtId="0" fontId="61" fillId="0" borderId="4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37" borderId="45" applyNumberFormat="0" applyAlignment="0" applyProtection="0">
      <alignment vertical="center"/>
    </xf>
    <xf numFmtId="0" fontId="63" fillId="38" borderId="46" applyNumberFormat="0" applyAlignment="0" applyProtection="0">
      <alignment vertical="center"/>
    </xf>
    <xf numFmtId="0" fontId="64" fillId="38" borderId="45" applyNumberFormat="0" applyAlignment="0" applyProtection="0">
      <alignment vertical="center"/>
    </xf>
    <xf numFmtId="0" fontId="65" fillId="39" borderId="47" applyNumberFormat="0" applyAlignment="0" applyProtection="0">
      <alignment vertical="center"/>
    </xf>
    <xf numFmtId="0" fontId="66" fillId="0" borderId="48" applyNumberFormat="0" applyFill="0" applyAlignment="0" applyProtection="0">
      <alignment vertical="center"/>
    </xf>
    <xf numFmtId="0" fontId="67" fillId="0" borderId="49" applyNumberFormat="0" applyFill="0" applyAlignment="0" applyProtection="0">
      <alignment vertical="center"/>
    </xf>
    <xf numFmtId="0" fontId="68" fillId="40" borderId="0" applyNumberFormat="0" applyBorder="0" applyAlignment="0" applyProtection="0">
      <alignment vertical="center"/>
    </xf>
    <xf numFmtId="0" fontId="69" fillId="41" borderId="0" applyNumberFormat="0" applyBorder="0" applyAlignment="0" applyProtection="0">
      <alignment vertical="center"/>
    </xf>
    <xf numFmtId="0" fontId="70" fillId="42" borderId="0" applyNumberFormat="0" applyBorder="0" applyAlignment="0" applyProtection="0">
      <alignment vertical="center"/>
    </xf>
    <xf numFmtId="0" fontId="71" fillId="43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30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44" borderId="0" applyNumberFormat="0" applyBorder="0" applyAlignment="0" applyProtection="0">
      <alignment vertical="center"/>
    </xf>
    <xf numFmtId="0" fontId="72" fillId="10" borderId="0" applyNumberFormat="0" applyBorder="0" applyAlignment="0" applyProtection="0">
      <alignment vertical="center"/>
    </xf>
    <xf numFmtId="0" fontId="72" fillId="34" borderId="0" applyNumberFormat="0" applyBorder="0" applyAlignment="0" applyProtection="0">
      <alignment vertical="center"/>
    </xf>
    <xf numFmtId="0" fontId="71" fillId="45" borderId="0" applyNumberFormat="0" applyBorder="0" applyAlignment="0" applyProtection="0">
      <alignment vertical="center"/>
    </xf>
    <xf numFmtId="0" fontId="71" fillId="46" borderId="0" applyNumberFormat="0" applyBorder="0" applyAlignment="0" applyProtection="0">
      <alignment vertical="center"/>
    </xf>
    <xf numFmtId="0" fontId="72" fillId="47" borderId="0" applyNumberFormat="0" applyBorder="0" applyAlignment="0" applyProtection="0">
      <alignment vertical="center"/>
    </xf>
    <xf numFmtId="0" fontId="72" fillId="48" borderId="0" applyNumberFormat="0" applyBorder="0" applyAlignment="0" applyProtection="0">
      <alignment vertical="center"/>
    </xf>
    <xf numFmtId="0" fontId="71" fillId="49" borderId="0" applyNumberFormat="0" applyBorder="0" applyAlignment="0" applyProtection="0">
      <alignment vertical="center"/>
    </xf>
    <xf numFmtId="0" fontId="71" fillId="50" borderId="0" applyNumberFormat="0" applyBorder="0" applyAlignment="0" applyProtection="0">
      <alignment vertical="center"/>
    </xf>
    <xf numFmtId="0" fontId="72" fillId="2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1" fillId="51" borderId="0" applyNumberFormat="0" applyBorder="0" applyAlignment="0" applyProtection="0">
      <alignment vertical="center"/>
    </xf>
    <xf numFmtId="0" fontId="71" fillId="52" borderId="0" applyNumberFormat="0" applyBorder="0" applyAlignment="0" applyProtection="0">
      <alignment vertical="center"/>
    </xf>
    <xf numFmtId="0" fontId="72" fillId="53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1" fillId="54" borderId="0" applyNumberFormat="0" applyBorder="0" applyAlignment="0" applyProtection="0">
      <alignment vertical="center"/>
    </xf>
    <xf numFmtId="0" fontId="71" fillId="55" borderId="0" applyNumberFormat="0" applyBorder="0" applyAlignment="0" applyProtection="0">
      <alignment vertical="center"/>
    </xf>
    <xf numFmtId="0" fontId="72" fillId="8" borderId="0" applyNumberFormat="0" applyBorder="0" applyAlignment="0" applyProtection="0">
      <alignment vertical="center"/>
    </xf>
    <xf numFmtId="0" fontId="72" fillId="35" borderId="0" applyNumberFormat="0" applyBorder="0" applyAlignment="0" applyProtection="0">
      <alignment vertical="center"/>
    </xf>
    <xf numFmtId="0" fontId="71" fillId="14" borderId="0" applyNumberFormat="0" applyBorder="0" applyAlignment="0" applyProtection="0">
      <alignment vertical="center"/>
    </xf>
  </cellStyleXfs>
  <cellXfs count="4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/>
    </xf>
    <xf numFmtId="0" fontId="6" fillId="2" borderId="11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4" fillId="4" borderId="13" xfId="0" applyFont="1" applyFill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4" borderId="1" xfId="0" applyFill="1" applyBorder="1">
      <alignment vertical="center"/>
    </xf>
    <xf numFmtId="0" fontId="4" fillId="6" borderId="9" xfId="0" applyFont="1" applyFill="1" applyBorder="1" applyAlignment="1">
      <alignment horizontal="center" vertical="center" wrapText="1"/>
    </xf>
    <xf numFmtId="0" fontId="8" fillId="7" borderId="7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8" borderId="7" xfId="0" applyFont="1" applyFill="1" applyBorder="1" applyAlignment="1">
      <alignment horizontal="center" vertical="center" wrapText="1"/>
    </xf>
    <xf numFmtId="0" fontId="4" fillId="8" borderId="16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4" fillId="6" borderId="15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9" fillId="0" borderId="1" xfId="0" applyFont="1" applyBorder="1">
      <alignment vertical="center"/>
    </xf>
    <xf numFmtId="0" fontId="0" fillId="9" borderId="0" xfId="0" applyFill="1">
      <alignment vertical="center"/>
    </xf>
    <xf numFmtId="0" fontId="1" fillId="10" borderId="17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2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10" borderId="7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4" fillId="4" borderId="14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4" fillId="5" borderId="14" xfId="0" applyFont="1" applyFill="1" applyBorder="1" applyAlignment="1">
      <alignment horizontal="center" vertical="center" wrapText="1"/>
    </xf>
    <xf numFmtId="0" fontId="7" fillId="10" borderId="14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7" fillId="8" borderId="7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/>
    </xf>
    <xf numFmtId="0" fontId="4" fillId="13" borderId="1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7" fillId="8" borderId="14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 wrapText="1"/>
    </xf>
    <xf numFmtId="0" fontId="4" fillId="8" borderId="9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4" borderId="14" xfId="0" applyFont="1" applyFill="1" applyBorder="1" applyAlignment="1">
      <alignment horizontal="center" vertical="center" wrapText="1"/>
    </xf>
    <xf numFmtId="0" fontId="4" fillId="7" borderId="9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4" fillId="7" borderId="7" xfId="0" applyFont="1" applyFill="1" applyBorder="1" applyAlignment="1">
      <alignment horizontal="center" vertical="center" wrapText="1"/>
    </xf>
    <xf numFmtId="0" fontId="4" fillId="13" borderId="15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4" fillId="6" borderId="7" xfId="0" applyFont="1" applyFill="1" applyBorder="1" applyAlignment="1">
      <alignment horizontal="center" vertical="center" wrapText="1"/>
    </xf>
    <xf numFmtId="0" fontId="7" fillId="13" borderId="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13" borderId="7" xfId="0" applyFont="1" applyFill="1" applyBorder="1" applyAlignment="1">
      <alignment horizontal="center" vertical="center" wrapText="1"/>
    </xf>
    <xf numFmtId="0" fontId="1" fillId="14" borderId="1" xfId="0" applyFont="1" applyFill="1" applyBorder="1" applyAlignment="1">
      <alignment horizontal="center" vertical="center"/>
    </xf>
    <xf numFmtId="0" fontId="2" fillId="14" borderId="19" xfId="0" applyFont="1" applyFill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14" borderId="21" xfId="0" applyFont="1" applyFill="1" applyBorder="1" applyAlignment="1">
      <alignment horizontal="center" vertical="center" wrapText="1"/>
    </xf>
    <xf numFmtId="0" fontId="10" fillId="0" borderId="22" xfId="0" applyFont="1" applyBorder="1" applyAlignment="1">
      <alignment horizontal="center" vertical="center"/>
    </xf>
    <xf numFmtId="0" fontId="2" fillId="14" borderId="8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2" fillId="14" borderId="11" xfId="0" applyFont="1" applyFill="1" applyBorder="1" applyAlignment="1">
      <alignment horizontal="center" vertical="center"/>
    </xf>
    <xf numFmtId="0" fontId="4" fillId="14" borderId="7" xfId="0" applyFont="1" applyFill="1" applyBorder="1" applyAlignment="1">
      <alignment horizontal="center" vertical="center"/>
    </xf>
    <xf numFmtId="0" fontId="6" fillId="14" borderId="7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9" fillId="0" borderId="0" xfId="0" applyFont="1" applyBorder="1">
      <alignment vertical="center"/>
    </xf>
    <xf numFmtId="0" fontId="6" fillId="14" borderId="1" xfId="0" applyFont="1" applyFill="1" applyBorder="1" applyAlignment="1">
      <alignment horizontal="center" vertical="center" wrapText="1"/>
    </xf>
    <xf numFmtId="0" fontId="1" fillId="15" borderId="1" xfId="0" applyFont="1" applyFill="1" applyBorder="1" applyAlignment="1">
      <alignment horizontal="center" vertical="center"/>
    </xf>
    <xf numFmtId="0" fontId="2" fillId="15" borderId="23" xfId="0" applyFont="1" applyFill="1" applyBorder="1" applyAlignment="1">
      <alignment horizontal="center" vertical="center" wrapText="1"/>
    </xf>
    <xf numFmtId="0" fontId="2" fillId="15" borderId="0" xfId="0" applyFont="1" applyFill="1" applyAlignment="1">
      <alignment horizontal="center" vertical="center"/>
    </xf>
    <xf numFmtId="0" fontId="2" fillId="15" borderId="8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4" fillId="15" borderId="14" xfId="0" applyFont="1" applyFill="1" applyBorder="1" applyAlignment="1">
      <alignment horizontal="center" vertical="center"/>
    </xf>
    <xf numFmtId="0" fontId="6" fillId="15" borderId="14" xfId="0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14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7" xfId="0" applyFont="1" applyFill="1" applyBorder="1" applyAlignment="1">
      <alignment horizontal="center" vertical="center" wrapText="1"/>
    </xf>
    <xf numFmtId="0" fontId="15" fillId="10" borderId="7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6" fillId="10" borderId="3" xfId="0" applyFont="1" applyFill="1" applyBorder="1" applyAlignment="1">
      <alignment horizontal="center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5" fillId="4" borderId="7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horizontal="center" vertical="center" wrapText="1"/>
    </xf>
    <xf numFmtId="0" fontId="16" fillId="10" borderId="14" xfId="0" applyFont="1" applyFill="1" applyBorder="1" applyAlignment="1">
      <alignment horizontal="center" vertical="center" wrapText="1"/>
    </xf>
    <xf numFmtId="0" fontId="15" fillId="10" borderId="14" xfId="0" applyFont="1" applyFill="1" applyBorder="1" applyAlignment="1">
      <alignment horizontal="center" vertical="center" wrapText="1"/>
    </xf>
    <xf numFmtId="0" fontId="14" fillId="16" borderId="14" xfId="0" applyFont="1" applyFill="1" applyBorder="1" applyAlignment="1">
      <alignment horizontal="center" vertical="center" wrapText="1"/>
    </xf>
    <xf numFmtId="0" fontId="15" fillId="4" borderId="14" xfId="0" applyFont="1" applyFill="1" applyBorder="1" applyAlignment="1">
      <alignment horizontal="center" vertical="center" wrapText="1"/>
    </xf>
    <xf numFmtId="0" fontId="14" fillId="4" borderId="3" xfId="0" applyFont="1" applyFill="1" applyBorder="1" applyAlignment="1">
      <alignment vertical="center" wrapText="1"/>
    </xf>
    <xf numFmtId="0" fontId="16" fillId="10" borderId="1" xfId="0" applyFont="1" applyFill="1" applyBorder="1" applyAlignment="1">
      <alignment vertical="center" wrapText="1"/>
    </xf>
    <xf numFmtId="0" fontId="17" fillId="4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/>
    </xf>
    <xf numFmtId="0" fontId="18" fillId="0" borderId="24" xfId="0" applyFont="1" applyBorder="1" applyAlignment="1">
      <alignment horizontal="center" vertical="center"/>
    </xf>
    <xf numFmtId="0" fontId="18" fillId="0" borderId="25" xfId="0" applyFont="1" applyBorder="1" applyAlignment="1">
      <alignment horizontal="center" vertical="center"/>
    </xf>
    <xf numFmtId="0" fontId="18" fillId="0" borderId="26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19" fillId="17" borderId="27" xfId="0" applyFont="1" applyFill="1" applyBorder="1" applyAlignment="1">
      <alignment horizontal="center" vertical="center"/>
    </xf>
    <xf numFmtId="0" fontId="3" fillId="0" borderId="27" xfId="0" applyFont="1" applyBorder="1" applyAlignment="1">
      <alignment vertical="center" wrapText="1"/>
    </xf>
    <xf numFmtId="0" fontId="3" fillId="0" borderId="27" xfId="0" applyFont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18" borderId="27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18" borderId="27" xfId="0" applyFont="1" applyFill="1" applyBorder="1" applyAlignment="1">
      <alignment horizontal="center" vertical="center" wrapText="1"/>
    </xf>
    <xf numFmtId="0" fontId="3" fillId="18" borderId="20" xfId="0" applyFont="1" applyFill="1" applyBorder="1" applyAlignment="1">
      <alignment horizontal="center" vertical="center" wrapText="1"/>
    </xf>
    <xf numFmtId="0" fontId="3" fillId="18" borderId="28" xfId="0" applyFont="1" applyFill="1" applyBorder="1" applyAlignment="1">
      <alignment horizontal="center" vertical="center" wrapText="1"/>
    </xf>
    <xf numFmtId="0" fontId="3" fillId="18" borderId="23" xfId="0" applyFont="1" applyFill="1" applyBorder="1" applyAlignment="1">
      <alignment horizontal="center" vertical="center" wrapText="1"/>
    </xf>
    <xf numFmtId="0" fontId="3" fillId="18" borderId="29" xfId="0" applyFont="1" applyFill="1" applyBorder="1" applyAlignment="1">
      <alignment horizontal="center" vertical="center" wrapText="1"/>
    </xf>
    <xf numFmtId="0" fontId="3" fillId="18" borderId="30" xfId="0" applyFont="1" applyFill="1" applyBorder="1" applyAlignment="1">
      <alignment horizontal="center" vertical="center" wrapText="1"/>
    </xf>
    <xf numFmtId="0" fontId="3" fillId="18" borderId="31" xfId="0" applyFont="1" applyFill="1" applyBorder="1" applyAlignment="1">
      <alignment horizontal="center" vertical="center" wrapText="1"/>
    </xf>
    <xf numFmtId="0" fontId="3" fillId="18" borderId="0" xfId="0" applyFont="1" applyFill="1" applyAlignment="1">
      <alignment horizontal="center" vertical="center" wrapText="1"/>
    </xf>
    <xf numFmtId="0" fontId="3" fillId="18" borderId="32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4" fillId="19" borderId="7" xfId="0" applyFont="1" applyFill="1" applyBorder="1" applyAlignment="1">
      <alignment horizontal="center" vertical="center" wrapText="1"/>
    </xf>
    <xf numFmtId="0" fontId="4" fillId="19" borderId="3" xfId="0" applyFont="1" applyFill="1" applyBorder="1" applyAlignment="1">
      <alignment horizontal="center" vertical="center" wrapText="1"/>
    </xf>
    <xf numFmtId="0" fontId="7" fillId="19" borderId="1" xfId="0" applyFont="1" applyFill="1" applyBorder="1" applyAlignment="1">
      <alignment horizontal="center" vertical="center" wrapText="1"/>
    </xf>
    <xf numFmtId="0" fontId="7" fillId="19" borderId="14" xfId="0" applyFont="1" applyFill="1" applyBorder="1" applyAlignment="1">
      <alignment horizontal="center" vertical="center" wrapText="1"/>
    </xf>
    <xf numFmtId="0" fontId="7" fillId="19" borderId="3" xfId="0" applyFont="1" applyFill="1" applyBorder="1" applyAlignment="1">
      <alignment horizontal="center" vertical="center" wrapText="1"/>
    </xf>
    <xf numFmtId="0" fontId="6" fillId="8" borderId="14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7" fillId="8" borderId="14" xfId="0" applyFont="1" applyFill="1" applyBorder="1" applyAlignment="1">
      <alignment horizontal="center" vertical="center"/>
    </xf>
    <xf numFmtId="0" fontId="4" fillId="19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 wrapText="1"/>
    </xf>
    <xf numFmtId="0" fontId="4" fillId="16" borderId="7" xfId="0" applyFont="1" applyFill="1" applyBorder="1" applyAlignment="1">
      <alignment horizontal="center" vertical="center" wrapText="1"/>
    </xf>
    <xf numFmtId="0" fontId="20" fillId="16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4" fillId="16" borderId="14" xfId="0" applyFont="1" applyFill="1" applyBorder="1" applyAlignment="1">
      <alignment horizontal="center" vertical="center" wrapText="1"/>
    </xf>
    <xf numFmtId="0" fontId="21" fillId="5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19" borderId="14" xfId="0" applyFont="1" applyFill="1" applyBorder="1" applyAlignment="1">
      <alignment horizontal="center" vertical="center" wrapText="1"/>
    </xf>
    <xf numFmtId="0" fontId="4" fillId="5" borderId="35" xfId="0" applyFont="1" applyFill="1" applyBorder="1" applyAlignment="1">
      <alignment horizontal="center" vertical="center" wrapText="1"/>
    </xf>
    <xf numFmtId="0" fontId="4" fillId="4" borderId="35" xfId="0" applyFont="1" applyFill="1" applyBorder="1" applyAlignment="1">
      <alignment horizontal="center" vertical="center" wrapText="1"/>
    </xf>
    <xf numFmtId="0" fontId="4" fillId="11" borderId="7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0" fontId="4" fillId="11" borderId="14" xfId="0" applyFont="1" applyFill="1" applyBorder="1" applyAlignment="1">
      <alignment horizontal="center" vertical="center" wrapText="1"/>
    </xf>
    <xf numFmtId="0" fontId="4" fillId="21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21" borderId="8" xfId="0" applyFont="1" applyFill="1" applyBorder="1" applyAlignment="1">
      <alignment horizontal="center" vertical="center" wrapText="1"/>
    </xf>
    <xf numFmtId="0" fontId="4" fillId="21" borderId="7" xfId="0" applyFont="1" applyFill="1" applyBorder="1" applyAlignment="1">
      <alignment horizontal="center" vertical="center" wrapText="1"/>
    </xf>
    <xf numFmtId="0" fontId="4" fillId="21" borderId="12" xfId="0" applyFont="1" applyFill="1" applyBorder="1" applyAlignment="1">
      <alignment horizontal="center" vertical="center" wrapText="1"/>
    </xf>
    <xf numFmtId="0" fontId="4" fillId="21" borderId="14" xfId="0" applyFont="1" applyFill="1" applyBorder="1" applyAlignment="1">
      <alignment horizontal="center" vertical="center" wrapText="1"/>
    </xf>
    <xf numFmtId="0" fontId="19" fillId="17" borderId="2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20" borderId="23" xfId="0" applyFont="1" applyFill="1" applyBorder="1" applyAlignment="1">
      <alignment horizontal="center" vertical="center" wrapText="1"/>
    </xf>
    <xf numFmtId="0" fontId="0" fillId="0" borderId="0" xfId="0" applyFo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20" borderId="36" xfId="0" applyFont="1" applyFill="1" applyBorder="1" applyAlignment="1">
      <alignment horizontal="center" vertical="center"/>
    </xf>
    <xf numFmtId="0" fontId="22" fillId="0" borderId="0" xfId="0" applyFont="1">
      <alignment vertical="center"/>
    </xf>
    <xf numFmtId="0" fontId="3" fillId="20" borderId="3" xfId="0" applyFont="1" applyFill="1" applyBorder="1" applyAlignment="1">
      <alignment horizontal="center" vertical="center" wrapText="1"/>
    </xf>
    <xf numFmtId="0" fontId="4" fillId="20" borderId="29" xfId="0" applyFont="1" applyFill="1" applyBorder="1" applyAlignment="1">
      <alignment horizontal="center" vertical="center"/>
    </xf>
    <xf numFmtId="0" fontId="2" fillId="20" borderId="11" xfId="0" applyFont="1" applyFill="1" applyBorder="1" applyAlignment="1">
      <alignment horizontal="center" vertical="center"/>
    </xf>
    <xf numFmtId="0" fontId="5" fillId="20" borderId="7" xfId="0" applyFont="1" applyFill="1" applyBorder="1" applyAlignment="1">
      <alignment horizontal="center" vertical="center"/>
    </xf>
    <xf numFmtId="0" fontId="6" fillId="20" borderId="7" xfId="0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5" fillId="20" borderId="3" xfId="0" applyFont="1" applyFill="1" applyBorder="1" applyAlignment="1">
      <alignment horizontal="center" vertical="center"/>
    </xf>
    <xf numFmtId="0" fontId="6" fillId="20" borderId="3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vertical="center" wrapText="1"/>
    </xf>
    <xf numFmtId="0" fontId="24" fillId="5" borderId="1" xfId="0" applyFont="1" applyFill="1" applyBorder="1" applyAlignment="1">
      <alignment horizontal="center" vertical="center" wrapText="1"/>
    </xf>
    <xf numFmtId="0" fontId="6" fillId="20" borderId="37" xfId="0" applyFont="1" applyFill="1" applyBorder="1" applyAlignment="1">
      <alignment horizontal="center" vertical="center" wrapText="1"/>
    </xf>
    <xf numFmtId="0" fontId="4" fillId="21" borderId="3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6" fillId="20" borderId="4" xfId="0" applyFont="1" applyFill="1" applyBorder="1" applyAlignment="1">
      <alignment horizontal="center" vertical="center" wrapText="1"/>
    </xf>
    <xf numFmtId="0" fontId="4" fillId="21" borderId="0" xfId="0" applyFont="1" applyFill="1" applyAlignment="1">
      <alignment horizontal="center" vertical="center" wrapText="1"/>
    </xf>
    <xf numFmtId="0" fontId="4" fillId="22" borderId="12" xfId="0" applyFont="1" applyFill="1" applyBorder="1" applyAlignment="1">
      <alignment horizontal="center" vertical="center" wrapText="1"/>
    </xf>
    <xf numFmtId="0" fontId="2" fillId="20" borderId="7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2" borderId="7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 wrapText="1"/>
    </xf>
    <xf numFmtId="0" fontId="4" fillId="23" borderId="7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2" fillId="20" borderId="14" xfId="0" applyFont="1" applyFill="1" applyBorder="1" applyAlignment="1">
      <alignment horizontal="center" vertical="center" wrapText="1"/>
    </xf>
    <xf numFmtId="0" fontId="3" fillId="20" borderId="14" xfId="0" applyFont="1" applyFill="1" applyBorder="1" applyAlignment="1">
      <alignment horizontal="center" vertical="center" wrapText="1"/>
    </xf>
    <xf numFmtId="0" fontId="4" fillId="24" borderId="7" xfId="0" applyFont="1" applyFill="1" applyBorder="1" applyAlignment="1">
      <alignment horizontal="center" vertical="center" wrapText="1"/>
    </xf>
    <xf numFmtId="0" fontId="2" fillId="20" borderId="3" xfId="0" applyFont="1" applyFill="1" applyBorder="1" applyAlignment="1">
      <alignment horizontal="center" vertical="center"/>
    </xf>
    <xf numFmtId="0" fontId="4" fillId="24" borderId="3" xfId="0" applyFont="1" applyFill="1" applyBorder="1" applyAlignment="1">
      <alignment horizontal="center" vertical="center" wrapText="1"/>
    </xf>
    <xf numFmtId="0" fontId="2" fillId="20" borderId="14" xfId="0" applyFont="1" applyFill="1" applyBorder="1" applyAlignment="1">
      <alignment horizontal="center" vertical="center"/>
    </xf>
    <xf numFmtId="0" fontId="3" fillId="25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/>
    </xf>
    <xf numFmtId="0" fontId="25" fillId="20" borderId="0" xfId="0" applyFont="1" applyFill="1" applyBorder="1" applyAlignment="1">
      <alignment horizontal="center" vertical="center"/>
    </xf>
    <xf numFmtId="0" fontId="4" fillId="26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vertical="center" wrapText="1"/>
    </xf>
    <xf numFmtId="0" fontId="4" fillId="4" borderId="14" xfId="0" applyFont="1" applyFill="1" applyBorder="1" applyAlignment="1">
      <alignment vertical="center" wrapText="1"/>
    </xf>
    <xf numFmtId="0" fontId="25" fillId="20" borderId="0" xfId="0" applyFont="1" applyFill="1" applyAlignment="1">
      <alignment horizontal="center" vertical="center"/>
    </xf>
    <xf numFmtId="0" fontId="1" fillId="27" borderId="1" xfId="0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0" fontId="25" fillId="27" borderId="39" xfId="0" applyFont="1" applyFill="1" applyBorder="1" applyAlignment="1">
      <alignment horizontal="center" vertical="center"/>
    </xf>
    <xf numFmtId="0" fontId="25" fillId="27" borderId="3" xfId="0" applyFont="1" applyFill="1" applyBorder="1" applyAlignment="1">
      <alignment horizontal="center" vertical="center"/>
    </xf>
    <xf numFmtId="0" fontId="25" fillId="27" borderId="14" xfId="0" applyFont="1" applyFill="1" applyBorder="1" applyAlignment="1">
      <alignment horizontal="center" vertical="center"/>
    </xf>
    <xf numFmtId="0" fontId="25" fillId="27" borderId="14" xfId="0" applyFont="1" applyFill="1" applyBorder="1" applyAlignment="1">
      <alignment horizontal="center" vertical="center" wrapText="1"/>
    </xf>
    <xf numFmtId="0" fontId="27" fillId="27" borderId="26" xfId="0" applyFont="1" applyFill="1" applyBorder="1" applyAlignment="1">
      <alignment horizontal="center" vertical="center"/>
    </xf>
    <xf numFmtId="0" fontId="25" fillId="27" borderId="27" xfId="0" applyFont="1" applyFill="1" applyBorder="1" applyAlignment="1">
      <alignment horizontal="center" vertical="center"/>
    </xf>
    <xf numFmtId="0" fontId="25" fillId="27" borderId="8" xfId="0" applyFont="1" applyFill="1" applyBorder="1" applyAlignment="1">
      <alignment horizontal="center" vertical="center"/>
    </xf>
    <xf numFmtId="0" fontId="28" fillId="27" borderId="1" xfId="0" applyFont="1" applyFill="1" applyBorder="1">
      <alignment vertical="center"/>
    </xf>
    <xf numFmtId="0" fontId="25" fillId="27" borderId="1" xfId="0" applyFont="1" applyFill="1" applyBorder="1" applyAlignment="1">
      <alignment horizontal="center" vertical="center" wrapText="1"/>
    </xf>
    <xf numFmtId="0" fontId="29" fillId="28" borderId="14" xfId="0" applyFont="1" applyFill="1" applyBorder="1" applyAlignment="1">
      <alignment horizontal="center" vertical="center" wrapText="1"/>
    </xf>
    <xf numFmtId="0" fontId="28" fillId="28" borderId="14" xfId="0" applyFont="1" applyFill="1" applyBorder="1" applyAlignment="1">
      <alignment horizontal="center" vertical="center" wrapText="1"/>
    </xf>
    <xf numFmtId="0" fontId="29" fillId="28" borderId="12" xfId="0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25" fillId="27" borderId="11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25" fillId="27" borderId="7" xfId="0" applyFont="1" applyFill="1" applyBorder="1" applyAlignment="1">
      <alignment horizontal="center" vertical="center"/>
    </xf>
    <xf numFmtId="0" fontId="25" fillId="27" borderId="1" xfId="0" applyFont="1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27" borderId="12" xfId="0" applyFont="1" applyFill="1" applyBorder="1" applyAlignment="1">
      <alignment horizontal="center" vertical="center"/>
    </xf>
    <xf numFmtId="0" fontId="27" fillId="0" borderId="14" xfId="0" applyFont="1" applyBorder="1" applyAlignment="1">
      <alignment horizontal="center" vertical="center" wrapText="1"/>
    </xf>
    <xf numFmtId="0" fontId="29" fillId="28" borderId="1" xfId="0" applyFont="1" applyFill="1" applyBorder="1" applyAlignment="1">
      <alignment horizontal="center" vertical="center" wrapText="1"/>
    </xf>
    <xf numFmtId="0" fontId="32" fillId="0" borderId="1" xfId="6" applyBorder="1">
      <alignment vertical="center"/>
    </xf>
    <xf numFmtId="0" fontId="33" fillId="4" borderId="0" xfId="0" applyFont="1" applyFill="1">
      <alignment vertical="center"/>
    </xf>
    <xf numFmtId="0" fontId="34" fillId="27" borderId="1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35" fillId="27" borderId="36" xfId="0" applyFont="1" applyFill="1" applyBorder="1" applyAlignment="1">
      <alignment horizontal="center" vertical="center"/>
    </xf>
    <xf numFmtId="0" fontId="2" fillId="27" borderId="39" xfId="0" applyFont="1" applyFill="1" applyBorder="1" applyAlignment="1">
      <alignment horizontal="center" vertical="center"/>
    </xf>
    <xf numFmtId="0" fontId="2" fillId="27" borderId="3" xfId="0" applyFont="1" applyFill="1" applyBorder="1" applyAlignment="1">
      <alignment horizontal="center" vertical="center"/>
    </xf>
    <xf numFmtId="0" fontId="2" fillId="27" borderId="14" xfId="0" applyFont="1" applyFill="1" applyBorder="1" applyAlignment="1">
      <alignment horizontal="center" vertical="center"/>
    </xf>
    <xf numFmtId="0" fontId="2" fillId="27" borderId="14" xfId="0" applyFont="1" applyFill="1" applyBorder="1" applyAlignment="1">
      <alignment horizontal="center" vertical="center" wrapText="1"/>
    </xf>
    <xf numFmtId="0" fontId="5" fillId="27" borderId="29" xfId="0" applyFont="1" applyFill="1" applyBorder="1" applyAlignment="1">
      <alignment horizontal="center" vertical="center"/>
    </xf>
    <xf numFmtId="0" fontId="2" fillId="27" borderId="27" xfId="0" applyFont="1" applyFill="1" applyBorder="1" applyAlignment="1">
      <alignment horizontal="center" vertical="center"/>
    </xf>
    <xf numFmtId="0" fontId="2" fillId="27" borderId="8" xfId="0" applyFont="1" applyFill="1" applyBorder="1" applyAlignment="1">
      <alignment horizontal="center" vertical="center"/>
    </xf>
    <xf numFmtId="0" fontId="36" fillId="27" borderId="7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37" fillId="28" borderId="3" xfId="0" applyFont="1" applyFill="1" applyBorder="1" applyAlignment="1">
      <alignment horizontal="center" vertical="center" wrapText="1"/>
    </xf>
    <xf numFmtId="0" fontId="37" fillId="28" borderId="1" xfId="0" applyFont="1" applyFill="1" applyBorder="1" applyAlignment="1">
      <alignment horizontal="center" vertical="center" wrapText="1"/>
    </xf>
    <xf numFmtId="0" fontId="38" fillId="4" borderId="1" xfId="0" applyFont="1" applyFill="1" applyBorder="1" applyAlignment="1">
      <alignment horizontal="center" vertical="center" wrapText="1"/>
    </xf>
    <xf numFmtId="0" fontId="2" fillId="27" borderId="11" xfId="0" applyFont="1" applyFill="1" applyBorder="1" applyAlignment="1">
      <alignment horizontal="center" vertical="center"/>
    </xf>
    <xf numFmtId="0" fontId="36" fillId="27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" xfId="0" applyFont="1" applyBorder="1">
      <alignment vertical="center"/>
    </xf>
    <xf numFmtId="0" fontId="36" fillId="27" borderId="7" xfId="0" applyFont="1" applyFill="1" applyBorder="1">
      <alignment vertical="center"/>
    </xf>
    <xf numFmtId="0" fontId="2" fillId="27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12" xfId="0" applyFont="1" applyFill="1" applyBorder="1" applyAlignment="1">
      <alignment horizontal="center" vertical="center" wrapText="1"/>
    </xf>
    <xf numFmtId="0" fontId="39" fillId="7" borderId="1" xfId="0" applyFont="1" applyFill="1" applyBorder="1" applyAlignment="1">
      <alignment horizontal="center" vertical="center" wrapText="1"/>
    </xf>
    <xf numFmtId="0" fontId="40" fillId="27" borderId="7" xfId="0" applyFont="1" applyFill="1" applyBorder="1" applyAlignment="1">
      <alignment horizontal="center" vertical="center"/>
    </xf>
    <xf numFmtId="0" fontId="5" fillId="27" borderId="26" xfId="0" applyFont="1" applyFill="1" applyBorder="1" applyAlignment="1">
      <alignment horizontal="center" vertical="center"/>
    </xf>
    <xf numFmtId="0" fontId="40" fillId="27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2" fillId="27" borderId="12" xfId="0" applyFont="1" applyFill="1" applyBorder="1" applyAlignment="1">
      <alignment horizontal="center" vertical="center"/>
    </xf>
    <xf numFmtId="0" fontId="40" fillId="27" borderId="14" xfId="0" applyFont="1" applyFill="1" applyBorder="1" applyAlignment="1">
      <alignment horizontal="center" vertical="center"/>
    </xf>
    <xf numFmtId="0" fontId="41" fillId="29" borderId="40" xfId="0" applyFont="1" applyFill="1" applyBorder="1" applyAlignment="1">
      <alignment horizontal="center" vertical="center"/>
    </xf>
    <xf numFmtId="0" fontId="42" fillId="30" borderId="1" xfId="0" applyFont="1" applyFill="1" applyBorder="1">
      <alignment vertical="center"/>
    </xf>
    <xf numFmtId="0" fontId="42" fillId="30" borderId="1" xfId="0" applyFont="1" applyFill="1" applyBorder="1" applyAlignment="1">
      <alignment horizontal="center" vertical="center"/>
    </xf>
    <xf numFmtId="0" fontId="23" fillId="0" borderId="1" xfId="0" applyFont="1" applyBorder="1">
      <alignment vertical="center"/>
    </xf>
    <xf numFmtId="0" fontId="23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58" fontId="23" fillId="0" borderId="1" xfId="0" applyNumberFormat="1" applyFont="1" applyBorder="1" applyAlignment="1">
      <alignment horizontal="center" vertical="center"/>
    </xf>
    <xf numFmtId="0" fontId="43" fillId="0" borderId="0" xfId="0" applyFont="1">
      <alignment vertical="center"/>
    </xf>
    <xf numFmtId="0" fontId="0" fillId="31" borderId="0" xfId="0" applyFill="1">
      <alignment vertical="center"/>
    </xf>
    <xf numFmtId="0" fontId="44" fillId="31" borderId="0" xfId="0" applyFont="1" applyFill="1" applyAlignment="1">
      <alignment horizontal="center" vertical="center"/>
    </xf>
    <xf numFmtId="0" fontId="44" fillId="31" borderId="41" xfId="0" applyFont="1" applyFill="1" applyBorder="1" applyAlignment="1">
      <alignment horizontal="center" vertical="center"/>
    </xf>
    <xf numFmtId="0" fontId="45" fillId="31" borderId="28" xfId="0" applyFont="1" applyFill="1" applyBorder="1" applyAlignment="1">
      <alignment horizontal="center" vertical="center" wrapText="1"/>
    </xf>
    <xf numFmtId="0" fontId="46" fillId="0" borderId="27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45" fillId="31" borderId="31" xfId="0" applyFont="1" applyFill="1" applyBorder="1" applyAlignment="1">
      <alignment horizontal="center" vertical="center"/>
    </xf>
    <xf numFmtId="0" fontId="35" fillId="31" borderId="20" xfId="0" applyFont="1" applyFill="1" applyBorder="1" applyAlignment="1">
      <alignment horizontal="center" vertical="center"/>
    </xf>
    <xf numFmtId="0" fontId="35" fillId="31" borderId="28" xfId="0" applyFont="1" applyFill="1" applyBorder="1" applyAlignment="1">
      <alignment horizontal="center" vertical="center"/>
    </xf>
    <xf numFmtId="0" fontId="35" fillId="31" borderId="7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 wrapText="1"/>
    </xf>
    <xf numFmtId="0" fontId="35" fillId="31" borderId="26" xfId="0" applyFont="1" applyFill="1" applyBorder="1" applyAlignment="1">
      <alignment horizontal="center" vertical="center"/>
    </xf>
    <xf numFmtId="0" fontId="35" fillId="31" borderId="27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1" xfId="0" applyFont="1" applyFill="1" applyBorder="1" applyAlignment="1">
      <alignment horizontal="center" vertical="center" wrapText="1"/>
    </xf>
    <xf numFmtId="0" fontId="47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8" fillId="7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/>
    </xf>
    <xf numFmtId="0" fontId="35" fillId="31" borderId="3" xfId="0" applyFont="1" applyFill="1" applyBorder="1" applyAlignment="1">
      <alignment vertical="center" wrapText="1"/>
    </xf>
    <xf numFmtId="0" fontId="35" fillId="31" borderId="0" xfId="0" applyFont="1" applyFill="1" applyAlignment="1">
      <alignment horizontal="center" vertical="center" wrapText="1"/>
    </xf>
    <xf numFmtId="0" fontId="35" fillId="31" borderId="14" xfId="0" applyFont="1" applyFill="1" applyBorder="1" applyAlignment="1">
      <alignment horizontal="center" vertical="center"/>
    </xf>
    <xf numFmtId="0" fontId="35" fillId="31" borderId="14" xfId="0" applyFont="1" applyFill="1" applyBorder="1" applyAlignment="1">
      <alignment horizontal="center" vertical="center" wrapText="1"/>
    </xf>
    <xf numFmtId="0" fontId="35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48" fillId="7" borderId="32" xfId="0" applyFont="1" applyFill="1" applyBorder="1" applyAlignment="1">
      <alignment horizontal="center" vertical="center" wrapText="1"/>
    </xf>
    <xf numFmtId="0" fontId="35" fillId="31" borderId="7" xfId="0" applyFont="1" applyFill="1" applyBorder="1" applyAlignment="1">
      <alignment horizontal="center" vertical="center" wrapText="1"/>
    </xf>
    <xf numFmtId="0" fontId="48" fillId="31" borderId="8" xfId="0" applyFont="1" applyFill="1" applyBorder="1" applyAlignment="1">
      <alignment horizontal="center" vertical="center" wrapText="1"/>
    </xf>
    <xf numFmtId="0" fontId="47" fillId="32" borderId="14" xfId="0" applyFont="1" applyFill="1" applyBorder="1" applyAlignment="1">
      <alignment horizontal="center" vertical="center" wrapText="1"/>
    </xf>
    <xf numFmtId="0" fontId="35" fillId="4" borderId="14" xfId="0" applyFont="1" applyFill="1" applyBorder="1" applyAlignment="1">
      <alignment horizontal="center" vertical="center" wrapText="1"/>
    </xf>
    <xf numFmtId="0" fontId="48" fillId="7" borderId="26" xfId="0" applyFont="1" applyFill="1" applyBorder="1" applyAlignment="1">
      <alignment horizontal="center" vertical="center" wrapText="1"/>
    </xf>
    <xf numFmtId="0" fontId="35" fillId="31" borderId="3" xfId="0" applyFont="1" applyFill="1" applyBorder="1" applyAlignment="1">
      <alignment horizontal="center" vertical="center" wrapText="1"/>
    </xf>
    <xf numFmtId="0" fontId="35" fillId="31" borderId="27" xfId="0" applyFont="1" applyFill="1" applyBorder="1" applyAlignment="1">
      <alignment horizontal="center" vertical="center" wrapText="1"/>
    </xf>
    <xf numFmtId="0" fontId="35" fillId="31" borderId="1" xfId="0" applyFont="1" applyFill="1" applyBorder="1" applyAlignment="1">
      <alignment vertical="center" wrapText="1"/>
    </xf>
    <xf numFmtId="0" fontId="35" fillId="31" borderId="11" xfId="0" applyFont="1" applyFill="1" applyBorder="1" applyAlignment="1">
      <alignment horizontal="center" vertical="center" wrapText="1"/>
    </xf>
    <xf numFmtId="0" fontId="48" fillId="31" borderId="1" xfId="0" applyFont="1" applyFill="1" applyBorder="1" applyAlignment="1">
      <alignment horizontal="center" vertical="center" wrapText="1"/>
    </xf>
    <xf numFmtId="0" fontId="47" fillId="32" borderId="1" xfId="0" applyFont="1" applyFill="1" applyBorder="1" applyAlignment="1">
      <alignment horizontal="center" vertical="center" wrapText="1"/>
    </xf>
    <xf numFmtId="0" fontId="1" fillId="4" borderId="14" xfId="0" applyFont="1" applyFill="1" applyBorder="1" applyAlignment="1">
      <alignment horizontal="center" vertical="center" wrapText="1"/>
    </xf>
    <xf numFmtId="0" fontId="48" fillId="7" borderId="30" xfId="0" applyFont="1" applyFill="1" applyBorder="1" applyAlignment="1">
      <alignment horizontal="center" vertical="center" wrapText="1"/>
    </xf>
    <xf numFmtId="0" fontId="35" fillId="31" borderId="32" xfId="0" applyFont="1" applyFill="1" applyBorder="1" applyAlignment="1">
      <alignment horizontal="center" vertical="center" wrapText="1"/>
    </xf>
    <xf numFmtId="0" fontId="35" fillId="31" borderId="11" xfId="0" applyFont="1" applyFill="1" applyBorder="1" applyAlignment="1">
      <alignment horizontal="center" vertical="center"/>
    </xf>
    <xf numFmtId="0" fontId="35" fillId="31" borderId="12" xfId="0" applyFont="1" applyFill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31" borderId="12" xfId="0" applyFont="1" applyFill="1" applyBorder="1" applyAlignment="1">
      <alignment horizontal="center" vertical="center"/>
    </xf>
    <xf numFmtId="0" fontId="35" fillId="31" borderId="2" xfId="0" applyFont="1" applyFill="1" applyBorder="1" applyAlignment="1">
      <alignment horizontal="center" vertical="center"/>
    </xf>
    <xf numFmtId="0" fontId="48" fillId="31" borderId="2" xfId="0" applyFont="1" applyFill="1" applyBorder="1" applyAlignment="1">
      <alignment horizontal="center" vertical="center" wrapText="1"/>
    </xf>
    <xf numFmtId="0" fontId="48" fillId="7" borderId="27" xfId="0" applyFont="1" applyFill="1" applyBorder="1" applyAlignment="1">
      <alignment horizontal="center" vertical="center" wrapText="1"/>
    </xf>
    <xf numFmtId="0" fontId="35" fillId="31" borderId="29" xfId="0" applyFont="1" applyFill="1" applyBorder="1" applyAlignment="1">
      <alignment horizontal="center" vertical="center"/>
    </xf>
    <xf numFmtId="0" fontId="35" fillId="31" borderId="3" xfId="0" applyFont="1" applyFill="1" applyBorder="1" applyAlignment="1">
      <alignment horizontal="center" vertical="center"/>
    </xf>
    <xf numFmtId="0" fontId="35" fillId="31" borderId="2" xfId="0" applyFont="1" applyFill="1" applyBorder="1" applyAlignment="1">
      <alignment horizontal="center" vertical="center" wrapText="1"/>
    </xf>
    <xf numFmtId="0" fontId="35" fillId="31" borderId="8" xfId="0" applyFont="1" applyFill="1" applyBorder="1" applyAlignment="1">
      <alignment horizontal="center" vertical="center"/>
    </xf>
    <xf numFmtId="0" fontId="35" fillId="31" borderId="20" xfId="0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48" fillId="7" borderId="29" xfId="0" applyFont="1" applyFill="1" applyBorder="1" applyAlignment="1">
      <alignment horizontal="center" vertical="center" wrapText="1"/>
    </xf>
    <xf numFmtId="0" fontId="49" fillId="31" borderId="0" xfId="0" applyFont="1" applyFill="1">
      <alignment vertical="center"/>
    </xf>
    <xf numFmtId="0" fontId="49" fillId="31" borderId="11" xfId="0" applyFont="1" applyFill="1" applyBorder="1">
      <alignment vertical="center"/>
    </xf>
    <xf numFmtId="0" fontId="45" fillId="31" borderId="37" xfId="0" applyFont="1" applyFill="1" applyBorder="1" applyAlignment="1">
      <alignment horizontal="center" vertical="center" wrapText="1"/>
    </xf>
    <xf numFmtId="0" fontId="46" fillId="4" borderId="1" xfId="0" applyFont="1" applyFill="1" applyBorder="1" applyAlignment="1">
      <alignment horizontal="center" vertical="center"/>
    </xf>
    <xf numFmtId="0" fontId="50" fillId="0" borderId="40" xfId="0" applyFont="1" applyBorder="1" applyAlignment="1">
      <alignment horizontal="center" vertical="center" wrapText="1"/>
    </xf>
    <xf numFmtId="0" fontId="50" fillId="0" borderId="12" xfId="0" applyFont="1" applyBorder="1" applyAlignment="1">
      <alignment horizontal="center" vertical="center" wrapText="1"/>
    </xf>
    <xf numFmtId="0" fontId="45" fillId="31" borderId="35" xfId="0" applyFont="1" applyFill="1" applyBorder="1" applyAlignment="1">
      <alignment horizontal="center" vertical="center"/>
    </xf>
    <xf numFmtId="0" fontId="51" fillId="33" borderId="3" xfId="0" applyFont="1" applyFill="1" applyBorder="1" applyAlignment="1">
      <alignment horizontal="center" vertical="center"/>
    </xf>
    <xf numFmtId="0" fontId="52" fillId="33" borderId="7" xfId="0" applyFont="1" applyFill="1" applyBorder="1" applyAlignment="1">
      <alignment horizontal="center" vertical="center"/>
    </xf>
    <xf numFmtId="0" fontId="35" fillId="33" borderId="1" xfId="0" applyFont="1" applyFill="1" applyBorder="1" applyAlignment="1">
      <alignment horizontal="center" vertical="center" wrapText="1"/>
    </xf>
    <xf numFmtId="0" fontId="52" fillId="33" borderId="3" xfId="0" applyFont="1" applyFill="1" applyBorder="1" applyAlignment="1">
      <alignment horizontal="center" vertical="center"/>
    </xf>
    <xf numFmtId="0" fontId="51" fillId="31" borderId="1" xfId="0" applyFont="1" applyFill="1" applyBorder="1" applyAlignment="1">
      <alignment horizontal="center" vertical="center"/>
    </xf>
    <xf numFmtId="0" fontId="52" fillId="31" borderId="1" xfId="0" applyFont="1" applyFill="1" applyBorder="1" applyAlignment="1">
      <alignment horizontal="center" vertical="center"/>
    </xf>
    <xf numFmtId="0" fontId="52" fillId="31" borderId="1" xfId="0" applyFont="1" applyFill="1" applyBorder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 wrapText="1"/>
    </xf>
    <xf numFmtId="0" fontId="47" fillId="28" borderId="1" xfId="0" applyFont="1" applyFill="1" applyBorder="1" applyAlignment="1">
      <alignment horizontal="center" vertical="center" wrapText="1"/>
    </xf>
    <xf numFmtId="0" fontId="35" fillId="28" borderId="1" xfId="0" applyFont="1" applyFill="1" applyBorder="1" applyAlignment="1">
      <alignment horizontal="center" vertical="center" wrapText="1"/>
    </xf>
    <xf numFmtId="0" fontId="0" fillId="31" borderId="1" xfId="0" applyFill="1" applyBorder="1" applyAlignment="1">
      <alignment horizontal="center" vertical="center"/>
    </xf>
    <xf numFmtId="0" fontId="35" fillId="4" borderId="0" xfId="0" applyFont="1" applyFill="1" applyAlignment="1">
      <alignment horizontal="center" vertical="center" wrapText="1"/>
    </xf>
    <xf numFmtId="0" fontId="52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 wrapText="1"/>
    </xf>
    <xf numFmtId="0" fontId="52" fillId="4" borderId="0" xfId="0" applyFont="1" applyFill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35" fillId="28" borderId="3" xfId="0" applyFont="1" applyFill="1" applyBorder="1" applyAlignment="1">
      <alignment horizontal="center" vertical="center" wrapText="1"/>
    </xf>
    <xf numFmtId="0" fontId="35" fillId="34" borderId="3" xfId="0" applyFont="1" applyFill="1" applyBorder="1" applyAlignment="1">
      <alignment horizontal="center" vertical="center" wrapText="1"/>
    </xf>
    <xf numFmtId="0" fontId="35" fillId="34" borderId="7" xfId="0" applyFont="1" applyFill="1" applyBorder="1" applyAlignment="1">
      <alignment horizontal="center" vertical="center" wrapText="1"/>
    </xf>
    <xf numFmtId="0" fontId="35" fillId="34" borderId="1" xfId="0" applyFont="1" applyFill="1" applyBorder="1" applyAlignment="1">
      <alignment horizontal="center" vertical="center" wrapText="1"/>
    </xf>
    <xf numFmtId="0" fontId="47" fillId="28" borderId="14" xfId="0" applyFont="1" applyFill="1" applyBorder="1" applyAlignment="1">
      <alignment horizontal="center" vertical="center" wrapText="1"/>
    </xf>
    <xf numFmtId="0" fontId="35" fillId="34" borderId="14" xfId="0" applyFont="1" applyFill="1" applyBorder="1" applyAlignment="1">
      <alignment horizontal="center" vertical="center" wrapText="1"/>
    </xf>
    <xf numFmtId="0" fontId="47" fillId="28" borderId="3" xfId="0" applyFont="1" applyFill="1" applyBorder="1" applyAlignment="1">
      <alignment horizontal="center" vertical="center" wrapText="1"/>
    </xf>
    <xf numFmtId="0" fontId="47" fillId="4" borderId="14" xfId="0" applyFont="1" applyFill="1" applyBorder="1" applyAlignment="1">
      <alignment horizontal="center" vertical="center" wrapText="1"/>
    </xf>
    <xf numFmtId="0" fontId="35" fillId="35" borderId="1" xfId="0" applyFont="1" applyFill="1" applyBorder="1" applyAlignment="1">
      <alignment horizontal="center" vertical="center" wrapText="1"/>
    </xf>
    <xf numFmtId="0" fontId="35" fillId="35" borderId="11" xfId="0" applyFont="1" applyFill="1" applyBorder="1" applyAlignment="1">
      <alignment horizontal="center" vertical="center"/>
    </xf>
    <xf numFmtId="0" fontId="35" fillId="35" borderId="12" xfId="0" applyFont="1" applyFill="1" applyBorder="1" applyAlignment="1">
      <alignment horizontal="center" vertical="center" wrapText="1"/>
    </xf>
    <xf numFmtId="0" fontId="35" fillId="35" borderId="12" xfId="0" applyFont="1" applyFill="1" applyBorder="1" applyAlignment="1">
      <alignment horizontal="center" vertical="center"/>
    </xf>
    <xf numFmtId="0" fontId="48" fillId="31" borderId="12" xfId="0" applyFont="1" applyFill="1" applyBorder="1" applyAlignment="1">
      <alignment horizontal="center" vertical="center" wrapText="1"/>
    </xf>
    <xf numFmtId="0" fontId="48" fillId="31" borderId="11" xfId="0" applyFont="1" applyFill="1" applyBorder="1" applyAlignment="1">
      <alignment horizontal="center" vertical="center" wrapText="1"/>
    </xf>
    <xf numFmtId="0" fontId="35" fillId="0" borderId="27" xfId="0" applyFont="1" applyBorder="1" applyAlignment="1">
      <alignment horizontal="center" vertical="center"/>
    </xf>
    <xf numFmtId="0" fontId="35" fillId="31" borderId="30" xfId="0" applyFont="1" applyFill="1" applyBorder="1" applyAlignment="1">
      <alignment horizontal="center" vertical="center" wrapText="1"/>
    </xf>
    <xf numFmtId="0" fontId="35" fillId="0" borderId="8" xfId="0" applyFont="1" applyBorder="1" applyAlignment="1">
      <alignment horizontal="center" vertical="center" wrapText="1"/>
    </xf>
    <xf numFmtId="0" fontId="35" fillId="0" borderId="7" xfId="0" applyFont="1" applyBorder="1" applyAlignment="1">
      <alignment horizontal="center" vertical="center" wrapText="1"/>
    </xf>
    <xf numFmtId="0" fontId="53" fillId="31" borderId="37" xfId="0" applyFont="1" applyFill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53" fillId="31" borderId="35" xfId="0" applyFont="1" applyFill="1" applyBorder="1" applyAlignment="1">
      <alignment horizontal="center" vertical="center"/>
    </xf>
    <xf numFmtId="0" fontId="48" fillId="31" borderId="1" xfId="0" applyFont="1" applyFill="1" applyBorder="1" applyAlignment="1">
      <alignment horizontal="center" vertical="center"/>
    </xf>
    <xf numFmtId="58" fontId="2" fillId="31" borderId="1" xfId="0" applyNumberFormat="1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31" borderId="1" xfId="0" applyFont="1" applyFill="1" applyBorder="1" applyAlignment="1">
      <alignment horizontal="center" vertical="center"/>
    </xf>
    <xf numFmtId="0" fontId="2" fillId="31" borderId="1" xfId="0" applyFont="1" applyFill="1" applyBorder="1" applyAlignment="1">
      <alignment horizontal="center"/>
    </xf>
    <xf numFmtId="0" fontId="48" fillId="31" borderId="1" xfId="0" applyFont="1" applyFill="1" applyBorder="1" applyAlignment="1">
      <alignment horizontal="center"/>
    </xf>
    <xf numFmtId="0" fontId="35" fillId="31" borderId="30" xfId="0" applyFont="1" applyFill="1" applyBorder="1" applyAlignment="1">
      <alignment horizontal="center" vertical="center"/>
    </xf>
    <xf numFmtId="0" fontId="35" fillId="31" borderId="27" xfId="0" applyFont="1" applyFill="1" applyBorder="1" applyAlignment="1">
      <alignment horizontal="center"/>
    </xf>
    <xf numFmtId="0" fontId="48" fillId="31" borderId="27" xfId="0" applyFont="1" applyFill="1" applyBorder="1" applyAlignment="1">
      <alignment horizontal="center" vertical="center" wrapText="1"/>
    </xf>
    <xf numFmtId="0" fontId="47" fillId="32" borderId="27" xfId="0" applyFont="1" applyFill="1" applyBorder="1" applyAlignment="1">
      <alignment horizontal="center" vertical="center" wrapText="1"/>
    </xf>
    <xf numFmtId="0" fontId="47" fillId="28" borderId="27" xfId="0" applyFont="1" applyFill="1" applyBorder="1" applyAlignment="1">
      <alignment horizontal="center" vertical="center" wrapText="1"/>
    </xf>
    <xf numFmtId="0" fontId="48" fillId="31" borderId="27" xfId="0" applyFont="1" applyFill="1" applyBorder="1" applyAlignment="1">
      <alignment horizontal="center"/>
    </xf>
    <xf numFmtId="0" fontId="54" fillId="32" borderId="27" xfId="0" applyFont="1" applyFill="1" applyBorder="1" applyAlignment="1">
      <alignment horizontal="center" vertical="center" wrapText="1"/>
    </xf>
    <xf numFmtId="0" fontId="54" fillId="28" borderId="27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5" fillId="0" borderId="27" xfId="0" applyFont="1" applyBorder="1" applyAlignment="1">
      <alignment horizontal="center" vertical="center" wrapText="1"/>
    </xf>
    <xf numFmtId="0" fontId="48" fillId="31" borderId="27" xfId="0" applyFont="1" applyFill="1" applyBorder="1" applyAlignment="1">
      <alignment horizontal="center" vertical="center"/>
    </xf>
    <xf numFmtId="0" fontId="48" fillId="31" borderId="30" xfId="0" applyFont="1" applyFill="1" applyBorder="1" applyAlignment="1">
      <alignment horizontal="center" vertical="center"/>
    </xf>
    <xf numFmtId="0" fontId="48" fillId="31" borderId="20" xfId="0" applyFont="1" applyFill="1" applyBorder="1" applyAlignment="1">
      <alignment horizontal="center" vertical="center" wrapText="1"/>
    </xf>
    <xf numFmtId="0" fontId="48" fillId="4" borderId="27" xfId="0" applyFont="1" applyFill="1" applyBorder="1" applyAlignment="1">
      <alignment horizontal="center" vertical="center" wrapText="1"/>
    </xf>
    <xf numFmtId="0" fontId="48" fillId="4" borderId="30" xfId="0" applyFont="1" applyFill="1" applyBorder="1" applyAlignment="1">
      <alignment horizontal="center" vertical="center"/>
    </xf>
    <xf numFmtId="0" fontId="48" fillId="31" borderId="22" xfId="0" applyFont="1" applyFill="1" applyBorder="1" applyAlignment="1">
      <alignment horizontal="center" vertical="center" wrapText="1"/>
    </xf>
    <xf numFmtId="0" fontId="35" fillId="4" borderId="27" xfId="0" applyFont="1" applyFill="1" applyBorder="1" applyAlignment="1">
      <alignment horizontal="center" vertical="center" wrapText="1"/>
    </xf>
    <xf numFmtId="0" fontId="0" fillId="4" borderId="0" xfId="0" applyFont="1" applyFill="1" applyAlignment="1">
      <alignment vertical="center" wrapText="1"/>
    </xf>
    <xf numFmtId="0" fontId="35" fillId="4" borderId="27" xfId="0" applyFont="1" applyFill="1" applyBorder="1" applyAlignment="1">
      <alignment horizontal="center" vertical="center"/>
    </xf>
    <xf numFmtId="0" fontId="48" fillId="31" borderId="3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rgb="FFFF0000"/>
      </font>
    </dxf>
    <dxf>
      <fill>
        <patternFill patternType="solid">
          <bgColor rgb="FFF7CAAC"/>
        </patternFill>
      </fill>
    </dxf>
    <dxf>
      <fill>
        <patternFill patternType="solid">
          <bgColor rgb="FFFEE598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5" tint="0.599963377788629"/>
        </patternFill>
      </fill>
    </dxf>
    <dxf>
      <fill>
        <patternFill patternType="solid">
          <bgColor theme="7" tint="0.599963377788629"/>
        </patternFill>
      </fill>
    </dxf>
  </dxfs>
  <tableStyles count="0" defaultTableStyle="TableStyleMedium2" defaultPivotStyle="PivotStyleLight16"/>
  <colors>
    <mruColors>
      <color rgb="00FFFFFF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4.png"/></Relationship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5" Type="http://schemas.openxmlformats.org/officeDocument/2006/relationships/styles" Target="styles.xml"/><Relationship Id="rId24" Type="http://www.wps.cn/officeDocument/2020/cellImage" Target="cellimag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232833</xdr:colOff>
      <xdr:row>0</xdr:row>
      <xdr:rowOff>0</xdr:rowOff>
    </xdr:from>
    <xdr:to>
      <xdr:col>7</xdr:col>
      <xdr:colOff>1280583</xdr:colOff>
      <xdr:row>1</xdr:row>
      <xdr:rowOff>550333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21955" y="0"/>
          <a:ext cx="1047750" cy="104521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111125</xdr:colOff>
      <xdr:row>0</xdr:row>
      <xdr:rowOff>0</xdr:rowOff>
    </xdr:from>
    <xdr:to>
      <xdr:col>7</xdr:col>
      <xdr:colOff>1174750</xdr:colOff>
      <xdr:row>1</xdr:row>
      <xdr:rowOff>545042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550785" y="0"/>
          <a:ext cx="1063625" cy="1066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253999</xdr:colOff>
      <xdr:row>0</xdr:row>
      <xdr:rowOff>0</xdr:rowOff>
    </xdr:from>
    <xdr:to>
      <xdr:col>8</xdr:col>
      <xdr:colOff>1365250</xdr:colOff>
      <xdr:row>2</xdr:row>
      <xdr:rowOff>10583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885045" y="0"/>
          <a:ext cx="1111885" cy="111506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196851</xdr:colOff>
      <xdr:row>0</xdr:row>
      <xdr:rowOff>1</xdr:rowOff>
    </xdr:from>
    <xdr:to>
      <xdr:col>7</xdr:col>
      <xdr:colOff>973667</xdr:colOff>
      <xdr:row>1</xdr:row>
      <xdr:rowOff>215900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545195" y="0"/>
          <a:ext cx="776605" cy="77597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146050</xdr:colOff>
      <xdr:row>0</xdr:row>
      <xdr:rowOff>0</xdr:rowOff>
    </xdr:from>
    <xdr:to>
      <xdr:col>7</xdr:col>
      <xdr:colOff>927100</xdr:colOff>
      <xdr:row>1</xdr:row>
      <xdr:rowOff>400024</xdr:rowOff>
    </xdr:to>
    <xdr:pic>
      <xdr:nvPicPr>
        <xdr:cNvPr id="10" name="图片 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415405" y="0"/>
          <a:ext cx="781050" cy="7734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139700</xdr:colOff>
      <xdr:row>0</xdr:row>
      <xdr:rowOff>0</xdr:rowOff>
    </xdr:from>
    <xdr:to>
      <xdr:col>7</xdr:col>
      <xdr:colOff>819150</xdr:colOff>
      <xdr:row>1</xdr:row>
      <xdr:rowOff>323850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79085" y="0"/>
          <a:ext cx="679450" cy="6788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63500</xdr:colOff>
      <xdr:row>0</xdr:row>
      <xdr:rowOff>0</xdr:rowOff>
    </xdr:from>
    <xdr:to>
      <xdr:col>7</xdr:col>
      <xdr:colOff>771525</xdr:colOff>
      <xdr:row>1</xdr:row>
      <xdr:rowOff>339725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172075" y="0"/>
          <a:ext cx="708025" cy="70929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269240</xdr:colOff>
      <xdr:row>0</xdr:row>
      <xdr:rowOff>104140</xdr:rowOff>
    </xdr:from>
    <xdr:to>
      <xdr:col>7</xdr:col>
      <xdr:colOff>1101090</xdr:colOff>
      <xdr:row>0</xdr:row>
      <xdr:rowOff>891540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30950" y="104140"/>
          <a:ext cx="831850" cy="78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269240</xdr:colOff>
      <xdr:row>0</xdr:row>
      <xdr:rowOff>104140</xdr:rowOff>
    </xdr:from>
    <xdr:to>
      <xdr:col>23</xdr:col>
      <xdr:colOff>1101090</xdr:colOff>
      <xdr:row>0</xdr:row>
      <xdr:rowOff>891540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674715" y="104140"/>
          <a:ext cx="831850" cy="787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93980</xdr:colOff>
      <xdr:row>0</xdr:row>
      <xdr:rowOff>6350</xdr:rowOff>
    </xdr:from>
    <xdr:to>
      <xdr:col>7</xdr:col>
      <xdr:colOff>925830</xdr:colOff>
      <xdr:row>0</xdr:row>
      <xdr:rowOff>793750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209665" y="6350"/>
          <a:ext cx="831850" cy="7874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158750</xdr:colOff>
      <xdr:row>0</xdr:row>
      <xdr:rowOff>635</xdr:rowOff>
    </xdr:from>
    <xdr:to>
      <xdr:col>7</xdr:col>
      <xdr:colOff>1010920</xdr:colOff>
      <xdr:row>0</xdr:row>
      <xdr:rowOff>802005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53910" y="635"/>
          <a:ext cx="852170" cy="8013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200660</xdr:colOff>
      <xdr:row>19</xdr:row>
      <xdr:rowOff>115570</xdr:rowOff>
    </xdr:from>
    <xdr:to>
      <xdr:col>7</xdr:col>
      <xdr:colOff>1052830</xdr:colOff>
      <xdr:row>19</xdr:row>
      <xdr:rowOff>916940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195820" y="11767820"/>
          <a:ext cx="852170" cy="80137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326390</xdr:colOff>
      <xdr:row>0</xdr:row>
      <xdr:rowOff>31750</xdr:rowOff>
    </xdr:from>
    <xdr:to>
      <xdr:col>7</xdr:col>
      <xdr:colOff>982345</xdr:colOff>
      <xdr:row>0</xdr:row>
      <xdr:rowOff>647065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88100" y="31750"/>
          <a:ext cx="655955" cy="6153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zoomScale="60" zoomScaleNormal="60" topLeftCell="A7" workbookViewId="0">
      <selection activeCell="K13" sqref="K13:R13"/>
    </sheetView>
  </sheetViews>
  <sheetFormatPr defaultColWidth="9.25454545454545" defaultRowHeight="14"/>
  <cols>
    <col min="1" max="1" width="8.87272727272727" customWidth="1"/>
    <col min="2" max="2" width="13.2545454545455" customWidth="1"/>
    <col min="3" max="3" width="10.3727272727273" customWidth="1"/>
    <col min="4" max="8" width="19.7545454545455" customWidth="1"/>
    <col min="11" max="11" width="20.2545454545455" customWidth="1"/>
  </cols>
  <sheetData>
    <row r="1" ht="39" customHeight="1" spans="1:11">
      <c r="A1" s="343"/>
      <c r="B1" s="402" t="s">
        <v>0</v>
      </c>
      <c r="C1" s="402"/>
      <c r="D1" s="402"/>
      <c r="E1" s="402"/>
      <c r="F1" s="403"/>
      <c r="G1" s="443" t="s">
        <v>1</v>
      </c>
      <c r="H1" s="405"/>
    </row>
    <row r="2" ht="44.1" customHeight="1" spans="1:11">
      <c r="B2" s="444" t="s">
        <v>2</v>
      </c>
      <c r="C2" s="444"/>
      <c r="D2" s="444"/>
      <c r="E2" s="444"/>
      <c r="F2" s="445"/>
      <c r="G2" s="446"/>
      <c r="H2" s="405"/>
    </row>
    <row r="3" s="239" customFormat="1" ht="4.5" hidden="1" customHeight="1" spans="1:11">
      <c r="A3" s="358" t="s">
        <v>3</v>
      </c>
      <c r="B3" s="358" t="s">
        <v>4</v>
      </c>
      <c r="C3" s="358" t="s">
        <v>5</v>
      </c>
      <c r="D3" s="380" t="s">
        <v>6</v>
      </c>
      <c r="E3" s="380" t="s">
        <v>7</v>
      </c>
      <c r="F3" s="380" t="s">
        <v>8</v>
      </c>
      <c r="G3" s="455" t="s">
        <v>9</v>
      </c>
      <c r="H3" s="455" t="s">
        <v>10</v>
      </c>
    </row>
    <row r="4" ht="65.1" hidden="1" customHeight="1" spans="1:11">
      <c r="A4" s="456"/>
      <c r="B4" s="457" t="s">
        <v>11</v>
      </c>
      <c r="C4" s="380" t="s">
        <v>12</v>
      </c>
      <c r="D4" s="458" t="s">
        <v>13</v>
      </c>
      <c r="E4" s="459" t="s">
        <v>14</v>
      </c>
      <c r="F4" s="458" t="s">
        <v>15</v>
      </c>
      <c r="G4" s="439"/>
      <c r="H4" s="439"/>
    </row>
    <row r="5" ht="66.95" hidden="1" customHeight="1" spans="1:11">
      <c r="A5" s="456"/>
      <c r="B5" s="460"/>
      <c r="C5" s="380" t="s">
        <v>16</v>
      </c>
      <c r="D5" s="461" t="s">
        <v>17</v>
      </c>
      <c r="E5" s="459" t="s">
        <v>18</v>
      </c>
      <c r="F5" s="462" t="s">
        <v>19</v>
      </c>
      <c r="G5" s="439"/>
      <c r="H5" s="439"/>
      <c r="J5" s="463"/>
    </row>
    <row r="6" ht="62.1" hidden="1" customHeight="1" spans="1:11">
      <c r="A6" s="456"/>
      <c r="B6" s="460"/>
      <c r="C6" s="456"/>
      <c r="D6" s="464" t="s">
        <v>20</v>
      </c>
      <c r="E6" s="458" t="s">
        <v>21</v>
      </c>
      <c r="F6" s="458" t="s">
        <v>22</v>
      </c>
      <c r="G6" s="439"/>
      <c r="H6" s="439"/>
    </row>
    <row r="7" s="239" customFormat="1" ht="18.95" customHeight="1" spans="1:11">
      <c r="A7" s="465" t="s">
        <v>3</v>
      </c>
      <c r="B7" s="465" t="s">
        <v>4</v>
      </c>
      <c r="C7" s="465" t="s">
        <v>5</v>
      </c>
      <c r="D7" s="457" t="s">
        <v>6</v>
      </c>
      <c r="E7" s="457" t="s">
        <v>7</v>
      </c>
      <c r="F7" s="457" t="s">
        <v>8</v>
      </c>
      <c r="G7" s="466" t="s">
        <v>9</v>
      </c>
      <c r="H7" s="466" t="s">
        <v>10</v>
      </c>
    </row>
    <row r="8" s="239" customFormat="1" ht="60" customHeight="1" spans="1:11">
      <c r="A8" s="467" t="s">
        <v>23</v>
      </c>
      <c r="B8" s="467" t="s">
        <v>24</v>
      </c>
      <c r="C8" s="399" t="s">
        <v>12</v>
      </c>
      <c r="D8" s="468"/>
      <c r="E8" s="468"/>
      <c r="F8" s="468"/>
      <c r="G8" s="459" t="s">
        <v>25</v>
      </c>
      <c r="H8" s="469"/>
    </row>
    <row r="9" ht="59.1" customHeight="1" spans="1:11">
      <c r="A9" s="470"/>
      <c r="B9" s="470"/>
      <c r="C9" s="440"/>
      <c r="D9" s="439"/>
      <c r="E9" s="439"/>
      <c r="F9" s="471" t="s">
        <v>26</v>
      </c>
      <c r="G9" s="471" t="s">
        <v>27</v>
      </c>
      <c r="H9" s="439"/>
      <c r="K9" s="472"/>
    </row>
    <row r="10" ht="59.1" customHeight="1" spans="1:11">
      <c r="A10" s="470"/>
      <c r="B10" s="470"/>
      <c r="C10" s="380" t="s">
        <v>16</v>
      </c>
      <c r="D10" s="473"/>
      <c r="E10" s="439"/>
      <c r="F10" s="459" t="s">
        <v>28</v>
      </c>
      <c r="G10" s="458" t="s">
        <v>29</v>
      </c>
      <c r="H10" s="459" t="s">
        <v>30</v>
      </c>
    </row>
    <row r="11" ht="59.1" customHeight="1" spans="1:11">
      <c r="A11" s="470"/>
      <c r="B11" s="474"/>
      <c r="C11" s="456"/>
      <c r="D11" s="439"/>
      <c r="E11" s="439"/>
      <c r="F11" s="459" t="s">
        <v>31</v>
      </c>
      <c r="H11" s="439"/>
    </row>
    <row r="12" ht="59.1" customHeight="1" spans="1:11">
      <c r="A12" s="470"/>
      <c r="B12" s="467" t="s">
        <v>32</v>
      </c>
      <c r="C12" s="380" t="s">
        <v>12</v>
      </c>
      <c r="D12" s="464" t="s">
        <v>33</v>
      </c>
      <c r="E12" s="458" t="s">
        <v>34</v>
      </c>
      <c r="F12" s="458" t="s">
        <v>35</v>
      </c>
      <c r="G12" s="439"/>
      <c r="H12" s="439"/>
    </row>
    <row r="13" ht="59.1" customHeight="1" spans="1:11">
      <c r="A13" s="470"/>
      <c r="B13" s="470"/>
      <c r="C13" s="380" t="s">
        <v>16</v>
      </c>
      <c r="D13" s="459" t="s">
        <v>36</v>
      </c>
      <c r="E13" s="464" t="s">
        <v>37</v>
      </c>
      <c r="F13" s="342"/>
      <c r="G13" s="439"/>
      <c r="H13" s="439"/>
    </row>
    <row r="14" ht="59.1" customHeight="1" spans="1:11">
      <c r="A14" s="470"/>
      <c r="B14" s="470"/>
      <c r="C14" s="380"/>
      <c r="D14" s="464"/>
      <c r="E14" s="471" t="s">
        <v>38</v>
      </c>
      <c r="F14" s="464"/>
      <c r="G14" s="439"/>
      <c r="H14" s="439"/>
    </row>
    <row r="15" ht="59.1" customHeight="1" spans="1:11">
      <c r="A15" s="474"/>
      <c r="B15" s="474"/>
      <c r="C15" s="456"/>
      <c r="D15" s="464" t="s">
        <v>39</v>
      </c>
      <c r="E15" s="471" t="s">
        <v>40</v>
      </c>
      <c r="F15" s="439"/>
      <c r="G15" s="473"/>
      <c r="H15" s="439"/>
    </row>
  </sheetData>
  <mergeCells count="12">
    <mergeCell ref="B2:F2"/>
    <mergeCell ref="A4:A6"/>
    <mergeCell ref="A8:A15"/>
    <mergeCell ref="B4:B6"/>
    <mergeCell ref="B8:B11"/>
    <mergeCell ref="B12:B15"/>
    <mergeCell ref="C5:C6"/>
    <mergeCell ref="C8:C9"/>
    <mergeCell ref="C10:C11"/>
    <mergeCell ref="C13:C15"/>
    <mergeCell ref="G1:G2"/>
    <mergeCell ref="H1:H2"/>
  </mergeCells>
  <conditionalFormatting sqref="J5">
    <cfRule type="containsText" dxfId="0" priority="1" operator="between" text="!">
      <formula>NOT(ISERROR(SEARCH("!",J5)))</formula>
    </cfRule>
    <cfRule type="containsText" dxfId="1" priority="2" operator="between" text="未审核">
      <formula>NOT(ISERROR(SEARCH("未审核",J5)))</formula>
    </cfRule>
    <cfRule type="containsText" dxfId="2" priority="3" operator="between" text="预设班">
      <formula>NOT(ISERROR(SEARCH("预设班",J5)))</formula>
    </cfRule>
    <cfRule type="containsText" dxfId="3" priority="4" operator="between" text="教材">
      <formula>NOT(ISERROR(SEARCH("教材",J5)))</formula>
    </cfRule>
  </conditionalFormatting>
  <conditionalFormatting sqref="D3:H8 G9:H10 D9:F12 H11 G12:H15">
    <cfRule type="containsText" dxfId="0" priority="5" operator="between" text="!">
      <formula>NOT(ISERROR(SEARCH("!",D3)))</formula>
    </cfRule>
    <cfRule type="containsText" dxfId="1" priority="6" operator="between" text="未审核">
      <formula>NOT(ISERROR(SEARCH("未审核",D3)))</formula>
    </cfRule>
    <cfRule type="containsText" dxfId="2" priority="7" operator="between" text="预设班">
      <formula>NOT(ISERROR(SEARCH("预设班",D3)))</formula>
    </cfRule>
    <cfRule type="containsText" dxfId="3" priority="8" operator="between" text="教材">
      <formula>NOT(ISERROR(SEARCH("教材",D3)))</formula>
    </cfRule>
  </conditionalFormatting>
  <conditionalFormatting sqref="D13:E15 F14:F15">
    <cfRule type="containsText" dxfId="0" priority="13" operator="between" text="!">
      <formula>NOT(ISERROR(SEARCH("!",D13)))</formula>
    </cfRule>
    <cfRule type="containsText" dxfId="1" priority="14" operator="between" text="未审核">
      <formula>NOT(ISERROR(SEARCH("未审核",D13)))</formula>
    </cfRule>
    <cfRule type="containsText" dxfId="2" priority="15" operator="between" text="预设班">
      <formula>NOT(ISERROR(SEARCH("预设班",D13)))</formula>
    </cfRule>
    <cfRule type="containsText" dxfId="3" priority="16" operator="between" text="教材">
      <formula>NOT(ISERROR(SEARCH("教材",D13)))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63" zoomScaleNormal="63" workbookViewId="0">
      <selection activeCell="K13" sqref="K13:R13"/>
    </sheetView>
  </sheetViews>
  <sheetFormatPr defaultColWidth="9.25454545454545" defaultRowHeight="14" outlineLevelRow="6" outlineLevelCol="7"/>
  <cols>
    <col min="1" max="1" width="13.8727272727273" customWidth="1"/>
    <col min="2" max="2" width="15" customWidth="1"/>
    <col min="3" max="3" width="15.1272727272727" customWidth="1"/>
    <col min="4" max="7" width="15.6272727272727" customWidth="1"/>
    <col min="8" max="8" width="17.8727272727273" customWidth="1"/>
  </cols>
  <sheetData>
    <row r="1" ht="41.1" customHeight="1" spans="1:8">
      <c r="A1" s="343"/>
      <c r="B1" s="402" t="s">
        <v>41</v>
      </c>
      <c r="C1" s="402"/>
      <c r="D1" s="402"/>
      <c r="E1" s="402"/>
      <c r="F1" s="403"/>
      <c r="G1" s="443" t="s">
        <v>1</v>
      </c>
      <c r="H1" s="405"/>
    </row>
    <row r="2" ht="45" customHeight="1" spans="1:8">
      <c r="B2" s="444" t="s">
        <v>2</v>
      </c>
      <c r="C2" s="444"/>
      <c r="D2" s="444"/>
      <c r="E2" s="444"/>
      <c r="F2" s="445"/>
      <c r="G2" s="446"/>
      <c r="H2" s="405"/>
    </row>
    <row r="3" s="239" customFormat="1" ht="23.1" customHeight="1" spans="1:8">
      <c r="A3" s="447" t="s">
        <v>3</v>
      </c>
      <c r="B3" s="447" t="s">
        <v>4</v>
      </c>
      <c r="C3" s="447" t="s">
        <v>5</v>
      </c>
      <c r="D3" s="383" t="s">
        <v>6</v>
      </c>
      <c r="E3" s="383" t="s">
        <v>7</v>
      </c>
      <c r="F3" s="383" t="s">
        <v>8</v>
      </c>
      <c r="G3" s="447" t="s">
        <v>9</v>
      </c>
      <c r="H3" s="447" t="s">
        <v>10</v>
      </c>
    </row>
    <row r="4" ht="50.1" customHeight="1" spans="1:8">
      <c r="A4" s="447" t="s">
        <v>42</v>
      </c>
      <c r="B4" s="448">
        <v>45178</v>
      </c>
      <c r="C4" s="449" t="s">
        <v>16</v>
      </c>
      <c r="D4" s="450"/>
      <c r="E4" s="450"/>
      <c r="F4" s="450"/>
      <c r="G4" s="450"/>
      <c r="H4" s="451" t="s">
        <v>43</v>
      </c>
    </row>
    <row r="5" ht="50.1" customHeight="1" spans="1:8">
      <c r="A5" s="447"/>
      <c r="B5" s="452"/>
      <c r="C5" s="453"/>
      <c r="D5" s="450"/>
      <c r="E5" s="450"/>
      <c r="F5" s="450"/>
      <c r="G5" s="450"/>
      <c r="H5" s="451" t="s">
        <v>44</v>
      </c>
    </row>
    <row r="6" ht="50.1" customHeight="1" spans="1:8">
      <c r="A6" s="383" t="s">
        <v>45</v>
      </c>
      <c r="B6" s="449" t="s">
        <v>46</v>
      </c>
      <c r="C6" s="449" t="s">
        <v>12</v>
      </c>
      <c r="D6" s="451"/>
      <c r="E6" s="317" t="s">
        <v>47</v>
      </c>
      <c r="F6" s="450"/>
      <c r="G6" s="450"/>
      <c r="H6" s="450"/>
    </row>
    <row r="7" ht="50.1" customHeight="1" spans="1:8">
      <c r="A7" s="454"/>
      <c r="B7" s="453"/>
      <c r="C7" s="449" t="s">
        <v>16</v>
      </c>
      <c r="D7" s="317" t="s">
        <v>48</v>
      </c>
      <c r="E7" s="451" t="s">
        <v>49</v>
      </c>
      <c r="F7" s="450"/>
      <c r="G7" s="450"/>
      <c r="H7" s="450"/>
    </row>
  </sheetData>
  <mergeCells count="8">
    <mergeCell ref="B2:F2"/>
    <mergeCell ref="A4:A5"/>
    <mergeCell ref="A6:A7"/>
    <mergeCell ref="B4:B5"/>
    <mergeCell ref="B6:B7"/>
    <mergeCell ref="C4:C5"/>
    <mergeCell ref="G1:G2"/>
    <mergeCell ref="H1:H2"/>
  </mergeCells>
  <conditionalFormatting sqref="D3:H7">
    <cfRule type="containsText" dxfId="0" priority="1" operator="between" text="!">
      <formula>NOT(ISERROR(SEARCH("!",D3)))</formula>
    </cfRule>
    <cfRule type="containsText" dxfId="1" priority="2" operator="between" text="未审核">
      <formula>NOT(ISERROR(SEARCH("未审核",D3)))</formula>
    </cfRule>
    <cfRule type="containsText" dxfId="2" priority="3" operator="between" text="预设班">
      <formula>NOT(ISERROR(SEARCH("预设班",D3)))</formula>
    </cfRule>
    <cfRule type="containsText" dxfId="3" priority="4" operator="between" text="教材">
      <formula>NOT(ISERROR(SEARCH("教材",D3)))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33"/>
  <sheetViews>
    <sheetView zoomScale="60" zoomScaleNormal="60" workbookViewId="0">
      <pane ySplit="3" topLeftCell="A4" activePane="bottomLeft" state="frozen"/>
      <selection/>
      <selection pane="bottomLeft" activeCell="K13" sqref="K13:R13"/>
    </sheetView>
  </sheetViews>
  <sheetFormatPr defaultColWidth="9.25454545454545" defaultRowHeight="14"/>
  <cols>
    <col min="1" max="1" width="10.8727272727273" customWidth="1"/>
    <col min="2" max="3" width="10.5"/>
    <col min="4" max="4" width="15" customWidth="1"/>
    <col min="5" max="9" width="22.7545454545455" customWidth="1"/>
  </cols>
  <sheetData>
    <row r="1" ht="42" customHeight="1" spans="1:9">
      <c r="A1" s="343"/>
      <c r="B1" s="344" t="s">
        <v>50</v>
      </c>
      <c r="C1" s="344"/>
      <c r="D1" s="344"/>
      <c r="E1" s="344"/>
      <c r="F1" s="344"/>
      <c r="G1" s="345"/>
      <c r="H1" s="346" t="s">
        <v>1</v>
      </c>
      <c r="I1" s="347"/>
    </row>
    <row r="2" ht="45" customHeight="1" spans="1:9">
      <c r="B2" s="348" t="s">
        <v>51</v>
      </c>
      <c r="C2" s="348"/>
      <c r="D2" s="348"/>
      <c r="E2" s="348"/>
      <c r="F2" s="348"/>
      <c r="G2" s="424"/>
      <c r="H2" s="351"/>
      <c r="I2" s="347"/>
    </row>
    <row r="3" s="342" customFormat="1" ht="24" customHeight="1" spans="1:9">
      <c r="A3" s="358" t="s">
        <v>52</v>
      </c>
      <c r="B3" s="358" t="s">
        <v>53</v>
      </c>
      <c r="C3" s="352" t="s">
        <v>3</v>
      </c>
      <c r="D3" s="352" t="s">
        <v>54</v>
      </c>
      <c r="E3" s="399" t="s">
        <v>6</v>
      </c>
      <c r="F3" s="399" t="s">
        <v>7</v>
      </c>
      <c r="G3" s="399" t="s">
        <v>8</v>
      </c>
      <c r="H3" s="358" t="s">
        <v>9</v>
      </c>
      <c r="I3" s="358" t="s">
        <v>10</v>
      </c>
    </row>
    <row r="4" ht="59.1" customHeight="1" spans="1:9">
      <c r="A4" s="425"/>
      <c r="B4" s="426" t="s">
        <v>55</v>
      </c>
      <c r="C4" s="427" t="s">
        <v>23</v>
      </c>
      <c r="D4" s="428" t="s">
        <v>56</v>
      </c>
      <c r="E4" s="371" t="s">
        <v>57</v>
      </c>
      <c r="F4" s="429" t="s">
        <v>58</v>
      </c>
      <c r="G4" s="429" t="s">
        <v>59</v>
      </c>
      <c r="H4" s="371" t="s">
        <v>60</v>
      </c>
      <c r="I4" s="378"/>
    </row>
    <row r="5" ht="59.1" customHeight="1" spans="1:9">
      <c r="A5" s="425"/>
      <c r="B5" s="426"/>
      <c r="C5" s="426"/>
      <c r="D5" s="430" t="s">
        <v>61</v>
      </c>
      <c r="E5" s="417" t="s">
        <v>62</v>
      </c>
      <c r="F5" s="431" t="s">
        <v>63</v>
      </c>
      <c r="G5" s="364" t="s">
        <v>64</v>
      </c>
      <c r="H5" s="432" t="s">
        <v>65</v>
      </c>
      <c r="I5" s="401"/>
    </row>
    <row r="6" ht="28.5" customHeight="1" spans="1:9">
      <c r="A6" s="425"/>
      <c r="B6" s="355" t="s">
        <v>53</v>
      </c>
      <c r="C6" s="355" t="s">
        <v>3</v>
      </c>
      <c r="D6" s="355" t="s">
        <v>54</v>
      </c>
      <c r="E6" s="356" t="s">
        <v>6</v>
      </c>
      <c r="F6" s="356" t="s">
        <v>7</v>
      </c>
      <c r="G6" s="356" t="s">
        <v>8</v>
      </c>
      <c r="H6" s="355" t="s">
        <v>9</v>
      </c>
      <c r="I6" s="355" t="s">
        <v>10</v>
      </c>
    </row>
    <row r="7" ht="65.1" customHeight="1" spans="1:9">
      <c r="A7" s="425"/>
      <c r="B7" s="433" t="s">
        <v>66</v>
      </c>
      <c r="C7" s="434" t="s">
        <v>23</v>
      </c>
      <c r="D7" s="435" t="s">
        <v>67</v>
      </c>
      <c r="E7" s="377" t="s">
        <v>68</v>
      </c>
      <c r="F7" s="385" t="s">
        <v>69</v>
      </c>
      <c r="G7" s="377" t="s">
        <v>70</v>
      </c>
      <c r="H7" s="390" t="s">
        <v>71</v>
      </c>
      <c r="I7" s="76"/>
    </row>
    <row r="8" ht="66.6" customHeight="1" spans="1:9">
      <c r="A8" s="425"/>
      <c r="B8" s="433"/>
      <c r="C8" s="436"/>
      <c r="D8" s="433" t="s">
        <v>61</v>
      </c>
      <c r="E8" s="364" t="s">
        <v>72</v>
      </c>
      <c r="F8" s="417" t="s">
        <v>73</v>
      </c>
      <c r="G8" s="364" t="s">
        <v>74</v>
      </c>
      <c r="H8" s="364" t="s">
        <v>75</v>
      </c>
      <c r="I8" s="76"/>
    </row>
    <row r="9" ht="59.1" hidden="1" customHeight="1" spans="1:9">
      <c r="A9" s="356" t="s">
        <v>76</v>
      </c>
      <c r="B9" s="355" t="s">
        <v>77</v>
      </c>
      <c r="C9" s="392" t="s">
        <v>78</v>
      </c>
      <c r="D9" s="437" t="s">
        <v>79</v>
      </c>
      <c r="E9" s="371" t="s">
        <v>80</v>
      </c>
      <c r="F9" s="371" t="s">
        <v>81</v>
      </c>
      <c r="G9" s="371" t="s">
        <v>82</v>
      </c>
      <c r="H9" s="371"/>
      <c r="I9" s="386"/>
    </row>
    <row r="10" ht="59.1" hidden="1" customHeight="1" spans="1:9">
      <c r="A10" s="356"/>
      <c r="B10" s="355"/>
      <c r="C10" s="392"/>
      <c r="D10" s="393" t="s">
        <v>83</v>
      </c>
      <c r="E10" s="371" t="s">
        <v>84</v>
      </c>
      <c r="F10" s="371" t="s">
        <v>85</v>
      </c>
      <c r="G10" s="371" t="s">
        <v>86</v>
      </c>
      <c r="H10" s="371"/>
      <c r="I10" s="394"/>
    </row>
    <row r="11" ht="24" hidden="1" customHeight="1" spans="1:9">
      <c r="A11" s="356"/>
      <c r="B11" s="355"/>
      <c r="C11" s="395" t="s">
        <v>3</v>
      </c>
      <c r="D11" s="352" t="s">
        <v>54</v>
      </c>
      <c r="E11" s="380" t="s">
        <v>6</v>
      </c>
      <c r="F11" s="380" t="s">
        <v>7</v>
      </c>
      <c r="G11" s="380" t="s">
        <v>8</v>
      </c>
      <c r="H11" s="358" t="s">
        <v>9</v>
      </c>
      <c r="I11" s="358" t="s">
        <v>10</v>
      </c>
    </row>
    <row r="12" ht="59.1" hidden="1" customHeight="1" spans="1:9">
      <c r="A12" s="356"/>
      <c r="B12" s="355"/>
      <c r="C12" s="392" t="s">
        <v>23</v>
      </c>
      <c r="D12" s="356" t="s">
        <v>67</v>
      </c>
      <c r="E12" s="371" t="s">
        <v>87</v>
      </c>
      <c r="F12" s="371" t="s">
        <v>88</v>
      </c>
      <c r="G12" s="371" t="s">
        <v>89</v>
      </c>
      <c r="H12" s="371"/>
      <c r="I12" s="378"/>
    </row>
    <row r="13" ht="59.1" hidden="1" customHeight="1" spans="1:9">
      <c r="A13" s="356" t="s">
        <v>90</v>
      </c>
      <c r="B13" s="355" t="s">
        <v>77</v>
      </c>
      <c r="C13" s="392" t="s">
        <v>78</v>
      </c>
      <c r="D13" s="393" t="s">
        <v>91</v>
      </c>
      <c r="E13" s="371" t="s">
        <v>92</v>
      </c>
      <c r="F13" s="371" t="s">
        <v>93</v>
      </c>
      <c r="G13" s="371" t="s">
        <v>94</v>
      </c>
      <c r="H13" s="371" t="s">
        <v>95</v>
      </c>
      <c r="I13" s="394"/>
    </row>
    <row r="14" ht="24" hidden="1" customHeight="1" spans="1:9">
      <c r="A14" s="356"/>
      <c r="B14" s="355"/>
      <c r="C14" s="395" t="s">
        <v>3</v>
      </c>
      <c r="D14" s="352" t="s">
        <v>54</v>
      </c>
      <c r="E14" s="380" t="s">
        <v>6</v>
      </c>
      <c r="F14" s="380" t="s">
        <v>7</v>
      </c>
      <c r="G14" s="380" t="s">
        <v>8</v>
      </c>
      <c r="H14" s="358" t="s">
        <v>9</v>
      </c>
      <c r="I14" s="358" t="s">
        <v>10</v>
      </c>
    </row>
    <row r="15" ht="59.1" hidden="1" customHeight="1" spans="1:9">
      <c r="A15" s="356"/>
      <c r="B15" s="355"/>
      <c r="C15" s="392" t="s">
        <v>23</v>
      </c>
      <c r="D15" s="356" t="s">
        <v>96</v>
      </c>
      <c r="E15" s="371" t="s">
        <v>97</v>
      </c>
      <c r="F15" s="371" t="s">
        <v>98</v>
      </c>
      <c r="G15" s="371" t="s">
        <v>99</v>
      </c>
      <c r="H15" s="371" t="s">
        <v>100</v>
      </c>
      <c r="I15" s="378"/>
    </row>
    <row r="16" ht="75" hidden="1" customHeight="1" spans="1:9">
      <c r="A16" s="374" t="s">
        <v>101</v>
      </c>
      <c r="B16" s="355" t="s">
        <v>77</v>
      </c>
      <c r="C16" s="392" t="s">
        <v>78</v>
      </c>
      <c r="D16" s="393" t="s">
        <v>83</v>
      </c>
      <c r="E16" s="371"/>
      <c r="F16" s="371" t="s">
        <v>102</v>
      </c>
      <c r="G16" s="371" t="s">
        <v>103</v>
      </c>
      <c r="H16" s="371" t="s">
        <v>104</v>
      </c>
      <c r="I16" s="394"/>
    </row>
    <row r="17" ht="24" hidden="1" customHeight="1" spans="1:9">
      <c r="A17" s="379"/>
      <c r="B17" s="355"/>
      <c r="C17" s="395" t="s">
        <v>3</v>
      </c>
      <c r="D17" s="352" t="s">
        <v>54</v>
      </c>
      <c r="E17" s="380" t="s">
        <v>6</v>
      </c>
      <c r="F17" s="380" t="s">
        <v>7</v>
      </c>
      <c r="G17" s="380" t="s">
        <v>8</v>
      </c>
      <c r="H17" s="358" t="s">
        <v>9</v>
      </c>
      <c r="I17" s="358" t="s">
        <v>10</v>
      </c>
    </row>
    <row r="18" ht="72.95" hidden="1" customHeight="1" spans="1:9">
      <c r="A18" s="379"/>
      <c r="B18" s="355"/>
      <c r="C18" s="392" t="s">
        <v>23</v>
      </c>
      <c r="D18" s="356" t="s">
        <v>67</v>
      </c>
      <c r="E18" s="371"/>
      <c r="F18" s="371" t="s">
        <v>105</v>
      </c>
      <c r="G18" s="371" t="s">
        <v>106</v>
      </c>
      <c r="H18" s="371" t="s">
        <v>107</v>
      </c>
      <c r="I18" s="378"/>
    </row>
    <row r="19" ht="72.95" hidden="1" customHeight="1" spans="1:9">
      <c r="A19" s="379"/>
      <c r="B19" s="355" t="s">
        <v>55</v>
      </c>
      <c r="C19" s="392" t="s">
        <v>78</v>
      </c>
      <c r="D19" s="393" t="s">
        <v>83</v>
      </c>
      <c r="E19" s="371"/>
      <c r="F19" s="371" t="s">
        <v>108</v>
      </c>
      <c r="G19" s="371" t="s">
        <v>109</v>
      </c>
      <c r="H19" s="371" t="s">
        <v>110</v>
      </c>
      <c r="I19" s="394"/>
    </row>
    <row r="20" ht="21.95" hidden="1" customHeight="1" spans="1:9">
      <c r="A20" s="379"/>
      <c r="B20" s="355"/>
      <c r="C20" s="395" t="s">
        <v>3</v>
      </c>
      <c r="D20" s="352" t="s">
        <v>54</v>
      </c>
      <c r="E20" s="380" t="s">
        <v>6</v>
      </c>
      <c r="F20" s="380" t="s">
        <v>7</v>
      </c>
      <c r="G20" s="380" t="s">
        <v>8</v>
      </c>
      <c r="H20" s="358" t="s">
        <v>9</v>
      </c>
      <c r="I20" s="358" t="s">
        <v>10</v>
      </c>
    </row>
    <row r="21" ht="72.95" hidden="1" customHeight="1" spans="1:9">
      <c r="A21" s="379"/>
      <c r="B21" s="355"/>
      <c r="C21" s="392" t="s">
        <v>23</v>
      </c>
      <c r="D21" s="356" t="s">
        <v>67</v>
      </c>
      <c r="E21" s="371"/>
      <c r="F21" s="371" t="s">
        <v>111</v>
      </c>
      <c r="G21" s="371" t="s">
        <v>112</v>
      </c>
      <c r="H21" s="371" t="s">
        <v>113</v>
      </c>
      <c r="I21" s="378"/>
    </row>
    <row r="22" ht="72.95" hidden="1" customHeight="1" spans="1:9">
      <c r="A22" s="379"/>
      <c r="B22" s="355" t="s">
        <v>114</v>
      </c>
      <c r="C22" s="392" t="s">
        <v>78</v>
      </c>
      <c r="D22" s="393" t="s">
        <v>83</v>
      </c>
      <c r="E22" s="371"/>
      <c r="F22" s="371" t="s">
        <v>115</v>
      </c>
      <c r="G22" s="371" t="s">
        <v>116</v>
      </c>
      <c r="I22" s="394"/>
    </row>
    <row r="23" ht="24.95" hidden="1" customHeight="1" spans="1:9">
      <c r="A23" s="379"/>
      <c r="B23" s="355"/>
      <c r="C23" s="395" t="s">
        <v>3</v>
      </c>
      <c r="D23" s="352" t="s">
        <v>54</v>
      </c>
      <c r="E23" s="380" t="s">
        <v>6</v>
      </c>
      <c r="F23" s="380" t="s">
        <v>7</v>
      </c>
      <c r="G23" s="380" t="s">
        <v>8</v>
      </c>
      <c r="H23" s="352" t="s">
        <v>9</v>
      </c>
      <c r="I23" s="358" t="s">
        <v>10</v>
      </c>
    </row>
    <row r="24" ht="72.95" hidden="1" customHeight="1" spans="1:9">
      <c r="A24" s="370"/>
      <c r="B24" s="355"/>
      <c r="C24" s="392" t="s">
        <v>23</v>
      </c>
      <c r="D24" s="356" t="s">
        <v>67</v>
      </c>
      <c r="E24" s="371"/>
      <c r="F24" s="371" t="s">
        <v>117</v>
      </c>
      <c r="G24" s="371" t="s">
        <v>118</v>
      </c>
      <c r="H24" s="76"/>
      <c r="I24" s="378"/>
    </row>
    <row r="25" ht="59.1" hidden="1" customHeight="1" spans="1:9">
      <c r="A25" s="356" t="s">
        <v>119</v>
      </c>
      <c r="B25" s="355" t="s">
        <v>55</v>
      </c>
      <c r="C25" s="398" t="s">
        <v>78</v>
      </c>
      <c r="D25" s="375" t="s">
        <v>79</v>
      </c>
      <c r="E25" s="364" t="s">
        <v>120</v>
      </c>
      <c r="F25" s="364" t="s">
        <v>121</v>
      </c>
      <c r="G25" s="364" t="s">
        <v>122</v>
      </c>
      <c r="H25" s="364" t="s">
        <v>123</v>
      </c>
      <c r="I25" s="394"/>
    </row>
    <row r="26" ht="59.1" hidden="1" customHeight="1" spans="1:9">
      <c r="A26" s="356"/>
      <c r="B26" s="355"/>
      <c r="C26" s="388"/>
      <c r="D26" s="437"/>
      <c r="E26" s="371"/>
      <c r="F26" s="371"/>
      <c r="G26" s="371"/>
      <c r="H26" s="364" t="s">
        <v>124</v>
      </c>
      <c r="I26" s="394"/>
    </row>
    <row r="27" ht="59.1" hidden="1" customHeight="1" spans="1:9">
      <c r="A27" s="356"/>
      <c r="B27" s="355"/>
      <c r="C27" s="388"/>
      <c r="D27" s="375" t="s">
        <v>125</v>
      </c>
      <c r="E27" s="364" t="s">
        <v>126</v>
      </c>
      <c r="F27" s="364" t="s">
        <v>127</v>
      </c>
      <c r="G27" s="364" t="s">
        <v>128</v>
      </c>
      <c r="H27" s="364" t="s">
        <v>129</v>
      </c>
      <c r="I27" s="394"/>
    </row>
    <row r="28" ht="59.1" hidden="1" customHeight="1" spans="1:9">
      <c r="A28" s="356"/>
      <c r="B28" s="355"/>
      <c r="C28" s="388"/>
      <c r="D28" s="438"/>
      <c r="E28" s="364"/>
      <c r="F28" s="364" t="s">
        <v>130</v>
      </c>
      <c r="G28" s="364"/>
      <c r="H28" s="364" t="s">
        <v>131</v>
      </c>
      <c r="I28" s="439"/>
    </row>
    <row r="29" ht="24" hidden="1" customHeight="1" spans="1:9">
      <c r="A29" s="356"/>
      <c r="B29" s="355"/>
      <c r="C29" s="395" t="s">
        <v>3</v>
      </c>
      <c r="D29" s="352" t="s">
        <v>54</v>
      </c>
      <c r="E29" s="380" t="s">
        <v>6</v>
      </c>
      <c r="F29" s="440" t="s">
        <v>7</v>
      </c>
      <c r="G29" s="440" t="s">
        <v>8</v>
      </c>
      <c r="H29" s="358" t="s">
        <v>9</v>
      </c>
      <c r="I29" s="358" t="s">
        <v>10</v>
      </c>
    </row>
    <row r="30" ht="59.1" hidden="1" customHeight="1" spans="1:9">
      <c r="A30" s="356"/>
      <c r="B30" s="355"/>
      <c r="C30" s="392" t="s">
        <v>23</v>
      </c>
      <c r="D30" s="356" t="s">
        <v>96</v>
      </c>
      <c r="E30" s="441" t="s">
        <v>132</v>
      </c>
      <c r="F30" s="442" t="s">
        <v>133</v>
      </c>
      <c r="G30" s="442" t="s">
        <v>134</v>
      </c>
      <c r="H30" s="442" t="s">
        <v>135</v>
      </c>
      <c r="I30" s="401"/>
    </row>
    <row r="31" ht="59.1" hidden="1" customHeight="1" spans="1:9">
      <c r="A31" s="356"/>
      <c r="B31" s="355"/>
      <c r="C31" s="392"/>
      <c r="D31" s="356"/>
      <c r="E31" s="364"/>
      <c r="F31" s="364"/>
      <c r="G31" s="364" t="s">
        <v>136</v>
      </c>
      <c r="H31" s="364" t="s">
        <v>137</v>
      </c>
      <c r="I31" s="366"/>
    </row>
    <row r="32" ht="59.1" hidden="1" customHeight="1" spans="1:9">
      <c r="A32" s="356"/>
      <c r="B32" s="355"/>
      <c r="C32" s="392"/>
      <c r="D32" s="356" t="s">
        <v>138</v>
      </c>
      <c r="E32" s="364" t="s">
        <v>139</v>
      </c>
      <c r="F32" s="364" t="s">
        <v>140</v>
      </c>
      <c r="G32" s="364" t="s">
        <v>141</v>
      </c>
      <c r="H32" s="364" t="s">
        <v>142</v>
      </c>
      <c r="I32" s="76"/>
    </row>
    <row r="33" ht="59.1" hidden="1" customHeight="1" spans="1:9">
      <c r="A33" s="356"/>
      <c r="B33" s="355"/>
      <c r="C33" s="392"/>
      <c r="D33" s="356"/>
      <c r="E33" s="364"/>
      <c r="F33" s="364" t="s">
        <v>143</v>
      </c>
      <c r="G33" s="364"/>
      <c r="H33" s="76"/>
      <c r="I33" s="76"/>
    </row>
  </sheetData>
  <autoFilter xmlns:etc="http://www.wps.cn/officeDocument/2017/etCustomData" ref="A3:I33" etc:filterBottomFollowUsedRange="0">
    <filterColumn colId="0">
      <customFilters>
        <customFilter operator="equal" val="市桥"/>
      </customFilters>
    </filterColumn>
    <extLst/>
  </autoFilter>
  <mergeCells count="26">
    <mergeCell ref="B1:G1"/>
    <mergeCell ref="B2:G2"/>
    <mergeCell ref="A4:A8"/>
    <mergeCell ref="A9:A12"/>
    <mergeCell ref="A13:A15"/>
    <mergeCell ref="A16:A24"/>
    <mergeCell ref="A25:A33"/>
    <mergeCell ref="B4:B5"/>
    <mergeCell ref="B7:B8"/>
    <mergeCell ref="B9:B12"/>
    <mergeCell ref="B13:B15"/>
    <mergeCell ref="B16:B18"/>
    <mergeCell ref="B19:B21"/>
    <mergeCell ref="B22:B24"/>
    <mergeCell ref="B25:B33"/>
    <mergeCell ref="C4:C5"/>
    <mergeCell ref="C7:C8"/>
    <mergeCell ref="C9:C10"/>
    <mergeCell ref="C25:C28"/>
    <mergeCell ref="C30:C33"/>
    <mergeCell ref="D25:D26"/>
    <mergeCell ref="D27:D28"/>
    <mergeCell ref="D30:D31"/>
    <mergeCell ref="D32:D33"/>
    <mergeCell ref="H1:H2"/>
    <mergeCell ref="I1:I2"/>
  </mergeCells>
  <conditionalFormatting sqref="E11:H11">
    <cfRule type="containsText" dxfId="0" priority="105" operator="between" text="!">
      <formula>NOT(ISERROR(SEARCH("!",E11)))</formula>
    </cfRule>
    <cfRule type="containsText" dxfId="1" priority="106" operator="between" text="未审核">
      <formula>NOT(ISERROR(SEARCH("未审核",E11)))</formula>
    </cfRule>
    <cfRule type="containsText" dxfId="2" priority="107" operator="between" text="预设班">
      <formula>NOT(ISERROR(SEARCH("预设班",E11)))</formula>
    </cfRule>
    <cfRule type="containsText" dxfId="3" priority="108" operator="between" text="教材">
      <formula>NOT(ISERROR(SEARCH("教材",E11)))</formula>
    </cfRule>
  </conditionalFormatting>
  <conditionalFormatting sqref="E14:H14">
    <cfRule type="containsText" dxfId="0" priority="89" operator="between" text="!">
      <formula>NOT(ISERROR(SEARCH("!",E14)))</formula>
    </cfRule>
    <cfRule type="containsText" dxfId="1" priority="90" operator="between" text="未审核">
      <formula>NOT(ISERROR(SEARCH("未审核",E14)))</formula>
    </cfRule>
    <cfRule type="containsText" dxfId="2" priority="91" operator="between" text="预设班">
      <formula>NOT(ISERROR(SEARCH("预设班",E14)))</formula>
    </cfRule>
    <cfRule type="containsText" dxfId="3" priority="92" operator="between" text="教材">
      <formula>NOT(ISERROR(SEARCH("教材",E14)))</formula>
    </cfRule>
  </conditionalFormatting>
  <conditionalFormatting sqref="E17:H17">
    <cfRule type="containsText" dxfId="0" priority="73" operator="between" text="!">
      <formula>NOT(ISERROR(SEARCH("!",E17)))</formula>
    </cfRule>
    <cfRule type="containsText" dxfId="1" priority="74" operator="between" text="未审核">
      <formula>NOT(ISERROR(SEARCH("未审核",E17)))</formula>
    </cfRule>
    <cfRule type="containsText" dxfId="2" priority="75" operator="between" text="预设班">
      <formula>NOT(ISERROR(SEARCH("预设班",E17)))</formula>
    </cfRule>
    <cfRule type="containsText" dxfId="3" priority="76" operator="between" text="教材">
      <formula>NOT(ISERROR(SEARCH("教材",E17)))</formula>
    </cfRule>
  </conditionalFormatting>
  <conditionalFormatting sqref="E20:H20">
    <cfRule type="containsText" dxfId="0" priority="37" operator="between" text="!">
      <formula>NOT(ISERROR(SEARCH("!",E20)))</formula>
    </cfRule>
    <cfRule type="containsText" dxfId="1" priority="38" operator="between" text="未审核">
      <formula>NOT(ISERROR(SEARCH("未审核",E20)))</formula>
    </cfRule>
    <cfRule type="containsText" dxfId="2" priority="39" operator="between" text="预设班">
      <formula>NOT(ISERROR(SEARCH("预设班",E20)))</formula>
    </cfRule>
    <cfRule type="containsText" dxfId="3" priority="40" operator="between" text="教材">
      <formula>NOT(ISERROR(SEARCH("教材",E20)))</formula>
    </cfRule>
  </conditionalFormatting>
  <conditionalFormatting sqref="E23:H23">
    <cfRule type="containsText" dxfId="0" priority="21" operator="between" text="!">
      <formula>NOT(ISERROR(SEARCH("!",E23)))</formula>
    </cfRule>
    <cfRule type="containsText" dxfId="1" priority="22" operator="between" text="未审核">
      <formula>NOT(ISERROR(SEARCH("未审核",E23)))</formula>
    </cfRule>
    <cfRule type="containsText" dxfId="2" priority="23" operator="between" text="预设班">
      <formula>NOT(ISERROR(SEARCH("预设班",E23)))</formula>
    </cfRule>
    <cfRule type="containsText" dxfId="3" priority="24" operator="between" text="教材">
      <formula>NOT(ISERROR(SEARCH("教材",E23)))</formula>
    </cfRule>
  </conditionalFormatting>
  <conditionalFormatting sqref="E29:H29">
    <cfRule type="containsText" dxfId="0" priority="5" operator="between" text="!">
      <formula>NOT(ISERROR(SEARCH("!",E29)))</formula>
    </cfRule>
    <cfRule type="containsText" dxfId="1" priority="6" operator="between" text="未审核">
      <formula>NOT(ISERROR(SEARCH("未审核",E29)))</formula>
    </cfRule>
    <cfRule type="containsText" dxfId="2" priority="7" operator="between" text="预设班">
      <formula>NOT(ISERROR(SEARCH("预设班",E29)))</formula>
    </cfRule>
    <cfRule type="containsText" dxfId="3" priority="8" operator="between" text="教材">
      <formula>NOT(ISERROR(SEARCH("教材",E29)))</formula>
    </cfRule>
  </conditionalFormatting>
  <conditionalFormatting sqref="D9:D10">
    <cfRule type="containsText" dxfId="0" priority="113" operator="between" text="!">
      <formula>NOT(ISERROR(SEARCH("!",D9)))</formula>
    </cfRule>
    <cfRule type="containsText" dxfId="1" priority="114" operator="between" text="未审核">
      <formula>NOT(ISERROR(SEARCH("未审核",D9)))</formula>
    </cfRule>
    <cfRule type="containsText" dxfId="2" priority="115" operator="between" text="预设班">
      <formula>NOT(ISERROR(SEARCH("预设班",D9)))</formula>
    </cfRule>
    <cfRule type="containsText" dxfId="3" priority="116" operator="between" text="教材">
      <formula>NOT(ISERROR(SEARCH("教材",D9)))</formula>
    </cfRule>
  </conditionalFormatting>
  <conditionalFormatting sqref="D12:D13">
    <cfRule type="containsText" dxfId="0" priority="65" operator="between" text="!">
      <formula>NOT(ISERROR(SEARCH("!",D12)))</formula>
    </cfRule>
    <cfRule type="containsText" dxfId="1" priority="66" operator="between" text="未审核">
      <formula>NOT(ISERROR(SEARCH("未审核",D12)))</formula>
    </cfRule>
    <cfRule type="containsText" dxfId="2" priority="67" operator="between" text="预设班">
      <formula>NOT(ISERROR(SEARCH("预设班",D12)))</formula>
    </cfRule>
    <cfRule type="containsText" dxfId="3" priority="68" operator="between" text="教材">
      <formula>NOT(ISERROR(SEARCH("教材",D12)))</formula>
    </cfRule>
  </conditionalFormatting>
  <conditionalFormatting sqref="D15:D16">
    <cfRule type="containsText" dxfId="0" priority="81" operator="between" text="!">
      <formula>NOT(ISERROR(SEARCH("!",D15)))</formula>
    </cfRule>
    <cfRule type="containsText" dxfId="1" priority="82" operator="between" text="未审核">
      <formula>NOT(ISERROR(SEARCH("未审核",D15)))</formula>
    </cfRule>
    <cfRule type="containsText" dxfId="2" priority="83" operator="between" text="预设班">
      <formula>NOT(ISERROR(SEARCH("预设班",D15)))</formula>
    </cfRule>
    <cfRule type="containsText" dxfId="3" priority="84" operator="between" text="教材">
      <formula>NOT(ISERROR(SEARCH("教材",D15)))</formula>
    </cfRule>
  </conditionalFormatting>
  <conditionalFormatting sqref="D18:D19">
    <cfRule type="containsText" dxfId="0" priority="45" operator="between" text="!">
      <formula>NOT(ISERROR(SEARCH("!",D18)))</formula>
    </cfRule>
    <cfRule type="containsText" dxfId="1" priority="46" operator="between" text="未审核">
      <formula>NOT(ISERROR(SEARCH("未审核",D18)))</formula>
    </cfRule>
    <cfRule type="containsText" dxfId="2" priority="47" operator="between" text="预设班">
      <formula>NOT(ISERROR(SEARCH("预设班",D18)))</formula>
    </cfRule>
    <cfRule type="containsText" dxfId="3" priority="48" operator="between" text="教材">
      <formula>NOT(ISERROR(SEARCH("教材",D18)))</formula>
    </cfRule>
  </conditionalFormatting>
  <conditionalFormatting sqref="D21:D22">
    <cfRule type="containsText" dxfId="0" priority="29" operator="between" text="!">
      <formula>NOT(ISERROR(SEARCH("!",D21)))</formula>
    </cfRule>
    <cfRule type="containsText" dxfId="1" priority="30" operator="between" text="未审核">
      <formula>NOT(ISERROR(SEARCH("未审核",D21)))</formula>
    </cfRule>
    <cfRule type="containsText" dxfId="2" priority="31" operator="between" text="预设班">
      <formula>NOT(ISERROR(SEARCH("预设班",D21)))</formula>
    </cfRule>
    <cfRule type="containsText" dxfId="3" priority="32" operator="between" text="教材">
      <formula>NOT(ISERROR(SEARCH("教材",D21)))</formula>
    </cfRule>
  </conditionalFormatting>
  <conditionalFormatting sqref="E3:H3 I3:I5 E6:I6">
    <cfRule type="containsText" dxfId="0" priority="141" operator="between" text="!">
      <formula>NOT(ISERROR(SEARCH("!",E3)))</formula>
    </cfRule>
  </conditionalFormatting>
  <conditionalFormatting sqref="E3:I3 I4:I5 E6:I6">
    <cfRule type="containsText" dxfId="1" priority="138" operator="between" text="未审核">
      <formula>NOT(ISERROR(SEARCH("未审核",E3)))</formula>
    </cfRule>
    <cfRule type="containsText" dxfId="2" priority="139" operator="between" text="预设班">
      <formula>NOT(ISERROR(SEARCH("预设班",E3)))</formula>
    </cfRule>
    <cfRule type="containsText" dxfId="3" priority="140" operator="between" text="教材">
      <formula>NOT(ISERROR(SEARCH("教材",E3)))</formula>
    </cfRule>
  </conditionalFormatting>
  <conditionalFormatting sqref="D4 E8 I9:I31">
    <cfRule type="containsText" dxfId="0" priority="125" operator="between" text="!">
      <formula>NOT(ISERROR(SEARCH("!",D4)))</formula>
    </cfRule>
    <cfRule type="containsText" dxfId="1" priority="126" operator="between" text="未审核">
      <formula>NOT(ISERROR(SEARCH("未审核",D4)))</formula>
    </cfRule>
    <cfRule type="containsText" dxfId="2" priority="127" operator="between" text="预设班">
      <formula>NOT(ISERROR(SEARCH("预设班",D4)))</formula>
    </cfRule>
    <cfRule type="containsText" dxfId="3" priority="128" operator="between" text="教材">
      <formula>NOT(ISERROR(SEARCH("教材",D4)))</formula>
    </cfRule>
  </conditionalFormatting>
  <conditionalFormatting sqref="D24:D25 D27">
    <cfRule type="containsText" dxfId="0" priority="13" operator="between" text="!">
      <formula>NOT(ISERROR(SEARCH("!",D24)))</formula>
    </cfRule>
    <cfRule type="containsText" dxfId="1" priority="14" operator="between" text="未审核">
      <formula>NOT(ISERROR(SEARCH("未审核",D24)))</formula>
    </cfRule>
    <cfRule type="containsText" dxfId="2" priority="15" operator="between" text="预设班">
      <formula>NOT(ISERROR(SEARCH("预设班",D24)))</formula>
    </cfRule>
    <cfRule type="containsText" dxfId="3" priority="16" operator="between" text="教材">
      <formula>NOT(ISERROR(SEARCH("教材",D24)))</formula>
    </cfRule>
  </conditionalFormatting>
  <conditionalFormatting sqref="D30 D32">
    <cfRule type="containsText" dxfId="0" priority="9" operator="between" text="!">
      <formula>NOT(ISERROR(SEARCH("!",D30)))</formula>
    </cfRule>
    <cfRule type="containsText" dxfId="1" priority="10" operator="between" text="未审核">
      <formula>NOT(ISERROR(SEARCH("未审核",D30)))</formula>
    </cfRule>
    <cfRule type="containsText" dxfId="2" priority="11" operator="between" text="预设班">
      <formula>NOT(ISERROR(SEARCH("预设班",D30)))</formula>
    </cfRule>
    <cfRule type="containsText" dxfId="3" priority="12" operator="between" text="教材">
      <formula>NOT(ISERROR(SEARCH("教材",D30)))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zoomScale="60" zoomScaleNormal="60" topLeftCell="A2" workbookViewId="0">
      <selection activeCell="K13" sqref="K13:R13"/>
    </sheetView>
  </sheetViews>
  <sheetFormatPr defaultColWidth="15.5" defaultRowHeight="14"/>
  <cols>
    <col min="1" max="1" width="9.62727272727273" customWidth="1"/>
    <col min="2" max="2" width="15.3727272727273" customWidth="1"/>
    <col min="3" max="3" width="11.5" customWidth="1"/>
    <col min="4" max="8" width="20.7545454545455" customWidth="1"/>
    <col min="9" max="9" width="15.5" customWidth="1"/>
    <col min="12" max="12" width="17.5" customWidth="1"/>
  </cols>
  <sheetData>
    <row r="1" ht="44.1" customHeight="1" spans="1:10">
      <c r="A1" s="343"/>
      <c r="B1" s="402" t="s">
        <v>144</v>
      </c>
      <c r="C1" s="402"/>
      <c r="D1" s="402"/>
      <c r="E1" s="402"/>
      <c r="F1" s="403"/>
      <c r="G1" s="404" t="s">
        <v>1</v>
      </c>
      <c r="H1" s="405"/>
    </row>
    <row r="2" ht="19" spans="1:10">
      <c r="B2" s="406" t="s">
        <v>2</v>
      </c>
      <c r="C2" s="406"/>
      <c r="D2" s="406"/>
      <c r="E2" s="406"/>
      <c r="F2" s="407"/>
      <c r="G2" s="408"/>
      <c r="H2" s="405"/>
    </row>
    <row r="3" ht="60" hidden="1" spans="1:10">
      <c r="A3" s="409"/>
      <c r="B3" s="410"/>
      <c r="C3" s="410"/>
      <c r="D3" s="411"/>
      <c r="E3" s="411" t="s">
        <v>145</v>
      </c>
      <c r="F3" s="411"/>
      <c r="G3" s="411" t="s">
        <v>146</v>
      </c>
      <c r="H3" s="411"/>
    </row>
    <row r="4" ht="60" hidden="1" spans="1:10">
      <c r="A4" s="409"/>
      <c r="B4" s="412"/>
      <c r="C4" s="412"/>
      <c r="D4" s="411" t="s">
        <v>147</v>
      </c>
      <c r="E4" s="411" t="s">
        <v>148</v>
      </c>
      <c r="F4" s="411" t="s">
        <v>149</v>
      </c>
      <c r="G4" s="411"/>
      <c r="H4" s="411"/>
    </row>
    <row r="5" ht="21.95" customHeight="1" spans="1:10">
      <c r="A5" s="413" t="s">
        <v>23</v>
      </c>
      <c r="B5" s="414" t="s">
        <v>54</v>
      </c>
      <c r="C5" s="414" t="s">
        <v>5</v>
      </c>
      <c r="D5" s="415" t="s">
        <v>6</v>
      </c>
      <c r="E5" s="415" t="s">
        <v>7</v>
      </c>
      <c r="F5" s="415" t="s">
        <v>8</v>
      </c>
      <c r="G5" s="414" t="s">
        <v>9</v>
      </c>
      <c r="H5" s="414" t="s">
        <v>10</v>
      </c>
    </row>
    <row r="6" ht="65.1" customHeight="1" spans="1:10">
      <c r="A6" s="413"/>
      <c r="B6" s="415" t="s">
        <v>150</v>
      </c>
      <c r="C6" s="414" t="s">
        <v>12</v>
      </c>
      <c r="D6" s="416"/>
      <c r="E6" s="359" t="s">
        <v>151</v>
      </c>
      <c r="F6" s="417" t="s">
        <v>152</v>
      </c>
      <c r="G6" s="417" t="s">
        <v>153</v>
      </c>
      <c r="H6" s="359" t="s">
        <v>154</v>
      </c>
    </row>
    <row r="7" ht="65.1" customHeight="1" spans="1:10">
      <c r="A7" s="413"/>
      <c r="B7" s="415"/>
      <c r="C7" s="414"/>
      <c r="D7" s="359"/>
      <c r="E7" s="76"/>
      <c r="F7" s="76"/>
      <c r="G7" s="76"/>
      <c r="H7" s="359" t="s">
        <v>155</v>
      </c>
    </row>
    <row r="8" ht="63.95" customHeight="1" spans="1:10">
      <c r="A8" s="413"/>
      <c r="B8" s="415"/>
      <c r="C8" s="414" t="s">
        <v>16</v>
      </c>
      <c r="D8" s="359"/>
      <c r="E8" s="364" t="s">
        <v>156</v>
      </c>
      <c r="F8" s="417" t="s">
        <v>157</v>
      </c>
      <c r="G8" s="417" t="s">
        <v>158</v>
      </c>
      <c r="H8" s="418" t="s">
        <v>159</v>
      </c>
    </row>
    <row r="9" ht="70.5" customHeight="1" spans="1:10">
      <c r="A9" s="413"/>
      <c r="B9" s="415"/>
      <c r="C9" s="419"/>
      <c r="E9" s="359" t="s">
        <v>160</v>
      </c>
      <c r="F9" s="417" t="s">
        <v>161</v>
      </c>
      <c r="G9" s="417" t="s">
        <v>162</v>
      </c>
      <c r="H9" s="359"/>
      <c r="J9" s="420"/>
    </row>
    <row r="10" ht="21.95" customHeight="1" spans="1:10">
      <c r="A10" s="413"/>
      <c r="B10" s="414" t="s">
        <v>54</v>
      </c>
      <c r="C10" s="414" t="s">
        <v>5</v>
      </c>
      <c r="D10" s="415" t="s">
        <v>6</v>
      </c>
      <c r="E10" s="415" t="s">
        <v>7</v>
      </c>
      <c r="F10" s="415" t="s">
        <v>8</v>
      </c>
      <c r="G10" s="414" t="s">
        <v>9</v>
      </c>
      <c r="H10" s="414" t="s">
        <v>10</v>
      </c>
    </row>
    <row r="11" ht="62.1" customHeight="1" spans="1:10">
      <c r="A11" s="413"/>
      <c r="B11" s="415" t="s">
        <v>163</v>
      </c>
      <c r="C11" s="414" t="s">
        <v>12</v>
      </c>
      <c r="D11" s="359" t="s">
        <v>164</v>
      </c>
      <c r="E11" s="416"/>
      <c r="F11" s="359" t="s">
        <v>165</v>
      </c>
      <c r="G11" s="421"/>
      <c r="H11" s="421"/>
    </row>
    <row r="12" ht="65.1" customHeight="1" spans="1:10">
      <c r="A12" s="413"/>
      <c r="B12" s="415"/>
      <c r="C12" s="355" t="s">
        <v>16</v>
      </c>
      <c r="D12" s="422" t="s">
        <v>166</v>
      </c>
      <c r="E12" s="359" t="s">
        <v>167</v>
      </c>
      <c r="F12" s="364" t="s">
        <v>168</v>
      </c>
      <c r="G12" s="359" t="s">
        <v>169</v>
      </c>
      <c r="H12" s="359"/>
      <c r="J12" s="420"/>
    </row>
    <row r="13" ht="45" hidden="1" customHeight="1" spans="1:10">
      <c r="A13" s="413"/>
      <c r="B13" s="415"/>
      <c r="C13" s="355"/>
      <c r="D13" s="359"/>
      <c r="E13" s="359"/>
      <c r="F13" s="359"/>
      <c r="G13" s="359"/>
      <c r="H13" s="359"/>
    </row>
    <row r="14" ht="60" customHeight="1" spans="1:10">
      <c r="A14" s="413"/>
      <c r="B14" s="415"/>
      <c r="C14" s="355"/>
      <c r="D14" s="359" t="s">
        <v>170</v>
      </c>
      <c r="E14" s="359" t="s">
        <v>171</v>
      </c>
      <c r="F14" s="416"/>
      <c r="G14" s="359"/>
      <c r="H14" s="76"/>
      <c r="J14" s="423"/>
    </row>
  </sheetData>
  <mergeCells count="12">
    <mergeCell ref="B2:F2"/>
    <mergeCell ref="A3:A4"/>
    <mergeCell ref="A5:A14"/>
    <mergeCell ref="B3:B4"/>
    <mergeCell ref="B6:B9"/>
    <mergeCell ref="B11:B14"/>
    <mergeCell ref="C3:C4"/>
    <mergeCell ref="C6:C7"/>
    <mergeCell ref="C8:C9"/>
    <mergeCell ref="C12:C14"/>
    <mergeCell ref="G1:G2"/>
    <mergeCell ref="H1:H2"/>
  </mergeCells>
  <conditionalFormatting sqref="E12">
    <cfRule type="containsText" dxfId="1" priority="33" operator="between" text="未审核">
      <formula>NOT(ISERROR(SEARCH("未审核",E12)))</formula>
    </cfRule>
    <cfRule type="containsText" dxfId="2" priority="34" operator="between" text="预设班">
      <formula>NOT(ISERROR(SEARCH("预设班",E12)))</formula>
    </cfRule>
    <cfRule type="containsText" dxfId="3" priority="35" operator="between" text="教材">
      <formula>NOT(ISERROR(SEARCH("教材",E12)))</formula>
    </cfRule>
    <cfRule type="containsText" dxfId="1" priority="37" operator="between" text="未审核">
      <formula>NOT(ISERROR(SEARCH("未审核",E12)))</formula>
    </cfRule>
    <cfRule type="containsText" dxfId="2" priority="38" operator="between" text="预设班">
      <formula>NOT(ISERROR(SEARCH("预设班",E12)))</formula>
    </cfRule>
    <cfRule type="containsText" dxfId="3" priority="39" operator="between" text="教材">
      <formula>NOT(ISERROR(SEARCH("教材",E12)))</formula>
    </cfRule>
  </conditionalFormatting>
  <conditionalFormatting sqref="J12">
    <cfRule type="containsText" dxfId="0" priority="43" operator="between" text="!">
      <formula>NOT(ISERROR(SEARCH("!",J12)))</formula>
    </cfRule>
    <cfRule type="containsText" dxfId="1" priority="49" operator="between" text="未审核">
      <formula>NOT(ISERROR(SEARCH("未审核",J12)))</formula>
    </cfRule>
    <cfRule type="containsText" dxfId="2" priority="50" operator="between" text="预设班">
      <formula>NOT(ISERROR(SEARCH("预设班",J12)))</formula>
    </cfRule>
    <cfRule type="containsText" dxfId="3" priority="51" operator="between" text="教材">
      <formula>NOT(ISERROR(SEARCH("教材",J12)))</formula>
    </cfRule>
  </conditionalFormatting>
  <conditionalFormatting sqref="D14">
    <cfRule type="containsText" dxfId="2" priority="46" operator="between" text="预设班">
      <formula>NOT(ISERROR(SEARCH("预设班",D14)))</formula>
    </cfRule>
    <cfRule type="containsText" dxfId="3" priority="47" operator="between" text="教材">
      <formula>NOT(ISERROR(SEARCH("教材",D14)))</formula>
    </cfRule>
  </conditionalFormatting>
  <conditionalFormatting sqref="D14:E14">
    <cfRule type="containsText" dxfId="1" priority="9" operator="between" text="未审核">
      <formula>NOT(ISERROR(SEARCH("未审核",D14)))</formula>
    </cfRule>
    <cfRule type="containsText" dxfId="2" priority="10" operator="between" text="预设班">
      <formula>NOT(ISERROR(SEARCH("预设班",D14)))</formula>
    </cfRule>
    <cfRule type="containsText" dxfId="3" priority="11" operator="between" text="教材">
      <formula>NOT(ISERROR(SEARCH("教材",D14)))</formula>
    </cfRule>
  </conditionalFormatting>
  <conditionalFormatting sqref="G14">
    <cfRule type="containsText" dxfId="0" priority="180" operator="between" text="!">
      <formula>NOT(ISERROR(SEARCH("!",G14)))</formula>
    </cfRule>
  </conditionalFormatting>
  <conditionalFormatting sqref="H7:H8">
    <cfRule type="containsText" dxfId="0" priority="24" operator="between" text="!">
      <formula>NOT(ISERROR(SEARCH("!",H7)))</formula>
    </cfRule>
  </conditionalFormatting>
  <conditionalFormatting sqref="D3:H6 D7 D8:H8 E9:H9 J9">
    <cfRule type="containsText" dxfId="0" priority="152" operator="between" text="!">
      <formula>NOT(ISERROR(SEARCH("!",D3)))</formula>
    </cfRule>
    <cfRule type="containsText" dxfId="3" priority="155" operator="between" text="教材">
      <formula>NOT(ISERROR(SEARCH("教材",D3)))</formula>
    </cfRule>
  </conditionalFormatting>
  <conditionalFormatting sqref="D3:H6 D7 E9:H9 J9 D8:H8">
    <cfRule type="containsText" dxfId="2" priority="154" operator="between" text="预设班">
      <formula>NOT(ISERROR(SEARCH("预设班",D3)))</formula>
    </cfRule>
  </conditionalFormatting>
  <conditionalFormatting sqref="D3:H6 D7 E9:H9 J9">
    <cfRule type="containsText" dxfId="1" priority="153" operator="between" text="未审核">
      <formula>NOT(ISERROR(SEARCH("未审核",D3)))</formula>
    </cfRule>
  </conditionalFormatting>
  <conditionalFormatting sqref="H7:H8 D10:H13 G14">
    <cfRule type="containsText" dxfId="1" priority="5" operator="between" text="未审核">
      <formula>NOT(ISERROR(SEARCH("未审核",D7)))</formula>
    </cfRule>
    <cfRule type="containsText" dxfId="2" priority="6" operator="between" text="预设班">
      <formula>NOT(ISERROR(SEARCH("预设班",D7)))</formula>
    </cfRule>
    <cfRule type="containsText" dxfId="3" priority="7" operator="between" text="教材">
      <formula>NOT(ISERROR(SEARCH("教材",D7)))</formula>
    </cfRule>
  </conditionalFormatting>
  <conditionalFormatting sqref="D14 D8:H8">
    <cfRule type="containsText" dxfId="1" priority="45" operator="between" text="未审核">
      <formula>NOT(ISERROR(SEARCH("未审核",D8)))</formula>
    </cfRule>
  </conditionalFormatting>
  <conditionalFormatting sqref="D10:H13 D14:E14">
    <cfRule type="containsText" dxfId="0" priority="20" operator="between" text="!">
      <formula>NOT(ISERROR(SEARCH("!",D10)))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I40"/>
  <sheetViews>
    <sheetView zoomScale="60" zoomScaleNormal="60" workbookViewId="0">
      <pane ySplit="3" topLeftCell="A4" activePane="bottomLeft" state="frozen"/>
      <selection/>
      <selection pane="bottomLeft" activeCell="K13" sqref="K13:R13"/>
    </sheetView>
  </sheetViews>
  <sheetFormatPr defaultColWidth="9.25454545454545" defaultRowHeight="14"/>
  <cols>
    <col min="1" max="1" width="10.8727272727273" hidden="1" customWidth="1"/>
    <col min="2" max="3" width="10.5"/>
    <col min="4" max="4" width="15" customWidth="1"/>
    <col min="5" max="9" width="22.7545454545455" customWidth="1"/>
  </cols>
  <sheetData>
    <row r="1" ht="42" customHeight="1" spans="1:9">
      <c r="A1" s="343"/>
      <c r="B1" s="344" t="s">
        <v>50</v>
      </c>
      <c r="C1" s="344"/>
      <c r="D1" s="344"/>
      <c r="E1" s="344"/>
      <c r="F1" s="344"/>
      <c r="G1" s="345"/>
      <c r="H1" s="346" t="s">
        <v>1</v>
      </c>
      <c r="I1" s="347"/>
    </row>
    <row r="2" ht="50.1" customHeight="1" spans="1:9">
      <c r="B2" s="348" t="s">
        <v>51</v>
      </c>
      <c r="C2" s="349"/>
      <c r="D2" s="349"/>
      <c r="E2" s="349"/>
      <c r="F2" s="349"/>
      <c r="G2" s="350"/>
      <c r="H2" s="351"/>
      <c r="I2" s="347"/>
    </row>
    <row r="3" s="342" customFormat="1" ht="27" customHeight="1" spans="1:9">
      <c r="A3" s="352" t="s">
        <v>52</v>
      </c>
      <c r="B3" s="353" t="s">
        <v>53</v>
      </c>
      <c r="C3" s="354" t="s">
        <v>3</v>
      </c>
      <c r="D3" s="355" t="s">
        <v>54</v>
      </c>
      <c r="E3" s="356" t="s">
        <v>6</v>
      </c>
      <c r="F3" s="356" t="s">
        <v>7</v>
      </c>
      <c r="G3" s="356" t="s">
        <v>8</v>
      </c>
      <c r="H3" s="357" t="s">
        <v>9</v>
      </c>
      <c r="I3" s="358" t="s">
        <v>10</v>
      </c>
    </row>
    <row r="4" ht="71.45" customHeight="1" spans="1:9">
      <c r="A4" s="356"/>
      <c r="B4" s="355" t="s">
        <v>77</v>
      </c>
      <c r="C4" s="355" t="s">
        <v>23</v>
      </c>
      <c r="D4" s="356" t="s">
        <v>96</v>
      </c>
      <c r="E4" s="359" t="s">
        <v>172</v>
      </c>
      <c r="F4" s="360" t="s">
        <v>173</v>
      </c>
      <c r="G4" s="359" t="s">
        <v>174</v>
      </c>
      <c r="H4" s="361" t="s">
        <v>175</v>
      </c>
      <c r="I4" s="362" t="s">
        <v>176</v>
      </c>
    </row>
    <row r="5" ht="68.1" customHeight="1" spans="1:9">
      <c r="A5" s="356"/>
      <c r="B5" s="355"/>
      <c r="C5" s="355"/>
      <c r="D5" s="356"/>
      <c r="E5" s="363" t="s">
        <v>177</v>
      </c>
      <c r="F5" s="359" t="s">
        <v>178</v>
      </c>
      <c r="G5" s="76"/>
      <c r="H5" s="364" t="s">
        <v>179</v>
      </c>
      <c r="I5" s="76"/>
    </row>
    <row r="6" ht="68.1" customHeight="1" spans="1:9">
      <c r="A6" s="356"/>
      <c r="B6" s="355"/>
      <c r="C6" s="355"/>
      <c r="D6" s="356" t="s">
        <v>138</v>
      </c>
      <c r="E6" s="363"/>
      <c r="F6" s="362"/>
      <c r="G6" s="361" t="s">
        <v>180</v>
      </c>
      <c r="H6" s="364" t="s">
        <v>181</v>
      </c>
      <c r="I6" s="365"/>
    </row>
    <row r="7" s="342" customFormat="1" ht="63.95" customHeight="1" spans="1:9">
      <c r="A7" s="356"/>
      <c r="B7" s="355"/>
      <c r="C7" s="355"/>
      <c r="D7" s="356"/>
      <c r="E7" s="364"/>
      <c r="F7" s="364"/>
      <c r="G7" s="364" t="s">
        <v>182</v>
      </c>
      <c r="H7" s="359" t="s">
        <v>183</v>
      </c>
      <c r="I7" s="366"/>
    </row>
    <row r="8" ht="39.95" hidden="1" customHeight="1" spans="1:9">
      <c r="A8" s="367"/>
      <c r="B8" s="368"/>
      <c r="C8" s="369"/>
      <c r="D8" s="370"/>
      <c r="E8" s="371"/>
      <c r="F8" s="371"/>
      <c r="G8" s="372" t="s">
        <v>184</v>
      </c>
      <c r="H8" s="371" t="s">
        <v>185</v>
      </c>
      <c r="I8" s="373"/>
    </row>
    <row r="9" ht="63.95" hidden="1" customHeight="1" spans="1:9">
      <c r="A9" s="367"/>
      <c r="B9" s="374" t="s">
        <v>55</v>
      </c>
      <c r="C9" s="374" t="s">
        <v>78</v>
      </c>
      <c r="D9" s="375" t="s">
        <v>79</v>
      </c>
      <c r="E9" s="376" t="s">
        <v>186</v>
      </c>
      <c r="F9" s="371" t="s">
        <v>187</v>
      </c>
      <c r="G9" s="371" t="s">
        <v>188</v>
      </c>
      <c r="H9" s="377" t="s">
        <v>189</v>
      </c>
      <c r="I9" s="378"/>
    </row>
    <row r="10" ht="65.1" hidden="1" customHeight="1" spans="1:9">
      <c r="A10" s="367"/>
      <c r="B10" s="379"/>
      <c r="C10" s="370"/>
      <c r="D10" s="375" t="s">
        <v>125</v>
      </c>
      <c r="E10" s="371"/>
      <c r="F10" s="376" t="s">
        <v>190</v>
      </c>
      <c r="G10" s="371" t="s">
        <v>191</v>
      </c>
      <c r="H10" s="371" t="s">
        <v>192</v>
      </c>
      <c r="I10" s="378"/>
    </row>
    <row r="11" ht="26.1" hidden="1" customHeight="1" spans="1:9">
      <c r="A11" s="367"/>
      <c r="B11" s="379"/>
      <c r="C11" s="352" t="s">
        <v>3</v>
      </c>
      <c r="D11" s="352" t="s">
        <v>54</v>
      </c>
      <c r="E11" s="380" t="s">
        <v>6</v>
      </c>
      <c r="F11" s="380" t="s">
        <v>7</v>
      </c>
      <c r="G11" s="380" t="s">
        <v>8</v>
      </c>
      <c r="H11" s="358" t="s">
        <v>9</v>
      </c>
      <c r="I11" s="358" t="s">
        <v>10</v>
      </c>
    </row>
    <row r="12" ht="60.95" hidden="1" customHeight="1" spans="1:9">
      <c r="A12" s="381"/>
      <c r="B12" s="379"/>
      <c r="C12" s="374" t="s">
        <v>23</v>
      </c>
      <c r="D12" s="356" t="s">
        <v>96</v>
      </c>
      <c r="E12" s="377" t="s">
        <v>193</v>
      </c>
      <c r="F12" s="371" t="s">
        <v>194</v>
      </c>
      <c r="G12" s="371" t="s">
        <v>195</v>
      </c>
      <c r="H12" s="371" t="s">
        <v>196</v>
      </c>
      <c r="I12" s="378"/>
    </row>
    <row r="13" ht="66" hidden="1" customHeight="1" spans="1:9">
      <c r="A13" s="381"/>
      <c r="B13" s="370"/>
      <c r="C13" s="370"/>
      <c r="D13" s="356" t="s">
        <v>138</v>
      </c>
      <c r="E13" s="371" t="s">
        <v>197</v>
      </c>
      <c r="F13" s="371" t="s">
        <v>198</v>
      </c>
      <c r="G13" s="371" t="s">
        <v>64</v>
      </c>
      <c r="H13" s="371"/>
      <c r="I13" s="378"/>
    </row>
    <row r="14" ht="69" hidden="1" customHeight="1" spans="1:9">
      <c r="A14" s="367"/>
      <c r="B14" s="382" t="s">
        <v>114</v>
      </c>
      <c r="C14" s="356" t="s">
        <v>78</v>
      </c>
      <c r="D14" s="383" t="s">
        <v>79</v>
      </c>
      <c r="E14" s="384" t="s">
        <v>199</v>
      </c>
      <c r="F14" s="371" t="s">
        <v>200</v>
      </c>
      <c r="G14" s="384" t="s">
        <v>201</v>
      </c>
      <c r="H14" s="371" t="s">
        <v>202</v>
      </c>
      <c r="I14" s="76"/>
    </row>
    <row r="15" ht="68.1" hidden="1" customHeight="1" spans="1:9">
      <c r="A15" s="367"/>
      <c r="B15" s="382"/>
      <c r="C15" s="356"/>
      <c r="D15" s="383" t="s">
        <v>125</v>
      </c>
      <c r="E15" s="359" t="s">
        <v>203</v>
      </c>
      <c r="F15" s="371" t="s">
        <v>204</v>
      </c>
      <c r="G15" s="371" t="s">
        <v>205</v>
      </c>
      <c r="H15" s="385" t="s">
        <v>206</v>
      </c>
      <c r="I15" s="386"/>
    </row>
    <row r="16" ht="26.1" hidden="1" customHeight="1" spans="1:9">
      <c r="A16" s="367"/>
      <c r="B16" s="382"/>
      <c r="C16" s="369" t="s">
        <v>3</v>
      </c>
      <c r="D16" s="369" t="s">
        <v>54</v>
      </c>
      <c r="E16" s="387" t="s">
        <v>6</v>
      </c>
      <c r="F16" s="380" t="s">
        <v>7</v>
      </c>
      <c r="G16" s="380" t="s">
        <v>8</v>
      </c>
      <c r="H16" s="358" t="s">
        <v>9</v>
      </c>
      <c r="I16" s="352" t="s">
        <v>10</v>
      </c>
    </row>
    <row r="17" ht="66.95" hidden="1" customHeight="1" spans="1:9">
      <c r="A17" s="381"/>
      <c r="B17" s="356"/>
      <c r="C17" s="388" t="s">
        <v>23</v>
      </c>
      <c r="D17" s="389" t="s">
        <v>67</v>
      </c>
      <c r="E17" s="371" t="s">
        <v>207</v>
      </c>
      <c r="F17" s="371" t="s">
        <v>208</v>
      </c>
      <c r="G17" s="371" t="s">
        <v>209</v>
      </c>
      <c r="H17" s="390" t="s">
        <v>210</v>
      </c>
      <c r="I17" s="76"/>
    </row>
    <row r="18" ht="69" hidden="1" customHeight="1" spans="1:9">
      <c r="A18" s="381"/>
      <c r="B18" s="356"/>
      <c r="C18" s="391"/>
      <c r="D18" s="389" t="s">
        <v>61</v>
      </c>
      <c r="E18" s="371" t="s">
        <v>211</v>
      </c>
      <c r="F18" s="371" t="s">
        <v>212</v>
      </c>
      <c r="G18" s="371" t="s">
        <v>74</v>
      </c>
      <c r="H18" s="372" t="s">
        <v>213</v>
      </c>
      <c r="I18" s="76"/>
    </row>
    <row r="19" ht="59.1" hidden="1" customHeight="1" spans="1:9">
      <c r="A19" s="356" t="s">
        <v>76</v>
      </c>
      <c r="B19" s="355" t="s">
        <v>77</v>
      </c>
      <c r="C19" s="392" t="s">
        <v>78</v>
      </c>
      <c r="D19" s="393" t="s">
        <v>79</v>
      </c>
      <c r="E19" s="371" t="s">
        <v>80</v>
      </c>
      <c r="F19" s="371" t="s">
        <v>81</v>
      </c>
      <c r="G19" s="371" t="s">
        <v>82</v>
      </c>
      <c r="H19" s="371"/>
      <c r="I19" s="386"/>
    </row>
    <row r="20" ht="59.1" hidden="1" customHeight="1" spans="1:9">
      <c r="A20" s="356"/>
      <c r="B20" s="355"/>
      <c r="C20" s="392"/>
      <c r="D20" s="393" t="s">
        <v>83</v>
      </c>
      <c r="E20" s="371" t="s">
        <v>84</v>
      </c>
      <c r="F20" s="371" t="s">
        <v>85</v>
      </c>
      <c r="G20" s="371" t="s">
        <v>86</v>
      </c>
      <c r="H20" s="371"/>
      <c r="I20" s="394"/>
    </row>
    <row r="21" ht="24" hidden="1" customHeight="1" spans="1:9">
      <c r="A21" s="356"/>
      <c r="B21" s="355"/>
      <c r="C21" s="395" t="s">
        <v>3</v>
      </c>
      <c r="D21" s="352" t="s">
        <v>54</v>
      </c>
      <c r="E21" s="380" t="s">
        <v>6</v>
      </c>
      <c r="F21" s="380" t="s">
        <v>7</v>
      </c>
      <c r="G21" s="380" t="s">
        <v>8</v>
      </c>
      <c r="H21" s="358" t="s">
        <v>9</v>
      </c>
      <c r="I21" s="358" t="s">
        <v>10</v>
      </c>
    </row>
    <row r="22" ht="59.1" hidden="1" customHeight="1" spans="1:9">
      <c r="A22" s="356"/>
      <c r="B22" s="355"/>
      <c r="C22" s="392" t="s">
        <v>23</v>
      </c>
      <c r="D22" s="356" t="s">
        <v>67</v>
      </c>
      <c r="E22" s="371" t="s">
        <v>87</v>
      </c>
      <c r="F22" s="371" t="s">
        <v>88</v>
      </c>
      <c r="G22" s="371" t="s">
        <v>89</v>
      </c>
      <c r="H22" s="371"/>
      <c r="I22" s="378"/>
    </row>
    <row r="23" ht="59.1" hidden="1" customHeight="1" spans="1:9">
      <c r="A23" s="374" t="s">
        <v>90</v>
      </c>
      <c r="B23" s="355" t="s">
        <v>77</v>
      </c>
      <c r="C23" s="392" t="s">
        <v>78</v>
      </c>
      <c r="D23" s="393" t="s">
        <v>91</v>
      </c>
      <c r="E23" s="371" t="s">
        <v>214</v>
      </c>
      <c r="F23" s="371" t="s">
        <v>215</v>
      </c>
      <c r="G23" s="371" t="s">
        <v>216</v>
      </c>
      <c r="H23" s="371" t="s">
        <v>217</v>
      </c>
      <c r="I23" s="394"/>
    </row>
    <row r="24" ht="24" hidden="1" customHeight="1" spans="1:9">
      <c r="A24" s="379"/>
      <c r="B24" s="355"/>
      <c r="C24" s="395" t="s">
        <v>3</v>
      </c>
      <c r="D24" s="352" t="s">
        <v>54</v>
      </c>
      <c r="E24" s="380" t="s">
        <v>6</v>
      </c>
      <c r="F24" s="380" t="s">
        <v>7</v>
      </c>
      <c r="G24" s="380" t="s">
        <v>8</v>
      </c>
      <c r="H24" s="358" t="s">
        <v>9</v>
      </c>
      <c r="I24" s="358" t="s">
        <v>10</v>
      </c>
    </row>
    <row r="25" ht="59.1" hidden="1" customHeight="1" spans="1:9">
      <c r="A25" s="379"/>
      <c r="B25" s="355"/>
      <c r="C25" s="392" t="s">
        <v>23</v>
      </c>
      <c r="D25" s="356" t="s">
        <v>96</v>
      </c>
      <c r="E25" s="371" t="s">
        <v>218</v>
      </c>
      <c r="F25" s="371" t="s">
        <v>219</v>
      </c>
      <c r="G25" s="371" t="s">
        <v>220</v>
      </c>
      <c r="H25" s="371" t="s">
        <v>221</v>
      </c>
      <c r="I25" s="378"/>
    </row>
    <row r="26" ht="65.1" hidden="1" customHeight="1" spans="1:9">
      <c r="A26" s="379"/>
      <c r="B26" s="354" t="s">
        <v>55</v>
      </c>
      <c r="C26" s="392" t="s">
        <v>78</v>
      </c>
      <c r="D26" s="375" t="s">
        <v>125</v>
      </c>
      <c r="E26" s="371" t="s">
        <v>222</v>
      </c>
      <c r="F26" s="371" t="s">
        <v>223</v>
      </c>
      <c r="G26" s="371" t="s">
        <v>224</v>
      </c>
      <c r="H26" s="371"/>
      <c r="I26" s="394"/>
    </row>
    <row r="27" ht="26.1" hidden="1" customHeight="1" spans="1:9">
      <c r="A27" s="379"/>
      <c r="B27" s="396"/>
      <c r="C27" s="395" t="s">
        <v>3</v>
      </c>
      <c r="D27" s="352" t="s">
        <v>54</v>
      </c>
      <c r="E27" s="380" t="s">
        <v>6</v>
      </c>
      <c r="F27" s="380" t="s">
        <v>7</v>
      </c>
      <c r="G27" s="380" t="s">
        <v>8</v>
      </c>
      <c r="H27" s="358" t="s">
        <v>9</v>
      </c>
      <c r="I27" s="358" t="s">
        <v>10</v>
      </c>
    </row>
    <row r="28" ht="69" hidden="1" customHeight="1" spans="1:9">
      <c r="A28" s="379"/>
      <c r="B28" s="369"/>
      <c r="C28" s="392" t="s">
        <v>23</v>
      </c>
      <c r="D28" s="356" t="s">
        <v>138</v>
      </c>
      <c r="E28" s="371" t="s">
        <v>225</v>
      </c>
      <c r="F28" s="371" t="s">
        <v>226</v>
      </c>
      <c r="G28" s="371" t="s">
        <v>227</v>
      </c>
      <c r="H28" s="371"/>
      <c r="I28" s="378"/>
    </row>
    <row r="29" ht="69" hidden="1" customHeight="1" spans="1:9">
      <c r="A29" s="379"/>
      <c r="B29" s="369"/>
      <c r="C29" s="392"/>
      <c r="D29" s="397"/>
      <c r="E29" s="371"/>
      <c r="F29" s="371"/>
      <c r="G29" s="371"/>
      <c r="H29" s="371"/>
      <c r="I29" s="378"/>
    </row>
    <row r="30" ht="69" hidden="1" customHeight="1" spans="1:9">
      <c r="A30" s="379" t="s">
        <v>101</v>
      </c>
      <c r="B30" s="396" t="s">
        <v>77</v>
      </c>
      <c r="C30" s="398" t="s">
        <v>78</v>
      </c>
      <c r="D30" s="393" t="s">
        <v>79</v>
      </c>
      <c r="E30" s="371"/>
      <c r="F30" s="371"/>
      <c r="G30" s="371" t="s">
        <v>228</v>
      </c>
      <c r="H30" s="371"/>
      <c r="I30" s="378"/>
    </row>
    <row r="31" ht="75" hidden="1" customHeight="1" spans="1:9">
      <c r="A31" s="379"/>
      <c r="B31" s="396"/>
      <c r="C31" s="391"/>
      <c r="D31" s="393" t="s">
        <v>83</v>
      </c>
      <c r="E31" s="371" t="s">
        <v>229</v>
      </c>
      <c r="F31" s="371" t="s">
        <v>230</v>
      </c>
      <c r="G31" s="371" t="s">
        <v>231</v>
      </c>
      <c r="H31" s="371" t="s">
        <v>232</v>
      </c>
      <c r="I31" s="394"/>
    </row>
    <row r="32" ht="24" hidden="1" customHeight="1" spans="1:9">
      <c r="A32" s="379"/>
      <c r="B32" s="396"/>
      <c r="C32" s="395" t="s">
        <v>3</v>
      </c>
      <c r="D32" s="352" t="s">
        <v>54</v>
      </c>
      <c r="E32" s="380" t="s">
        <v>6</v>
      </c>
      <c r="F32" s="380" t="s">
        <v>7</v>
      </c>
      <c r="G32" s="380" t="s">
        <v>8</v>
      </c>
      <c r="H32" s="358" t="s">
        <v>9</v>
      </c>
      <c r="I32" s="358" t="s">
        <v>10</v>
      </c>
    </row>
    <row r="33" ht="72.95" hidden="1" customHeight="1" spans="1:9">
      <c r="A33" s="379"/>
      <c r="B33" s="396"/>
      <c r="C33" s="398" t="s">
        <v>23</v>
      </c>
      <c r="D33" s="356" t="s">
        <v>67</v>
      </c>
      <c r="E33" s="371" t="s">
        <v>233</v>
      </c>
      <c r="F33" s="371" t="s">
        <v>234</v>
      </c>
      <c r="G33" s="371" t="s">
        <v>235</v>
      </c>
      <c r="H33" s="371"/>
      <c r="I33" s="378"/>
    </row>
    <row r="34" ht="72.95" hidden="1" customHeight="1" spans="1:9">
      <c r="A34" s="367"/>
      <c r="B34" s="369"/>
      <c r="C34" s="391"/>
      <c r="D34" s="356" t="s">
        <v>236</v>
      </c>
      <c r="E34" s="371"/>
      <c r="F34" s="371" t="s">
        <v>237</v>
      </c>
      <c r="G34" s="371"/>
      <c r="H34" s="371"/>
      <c r="I34" s="378"/>
    </row>
    <row r="35" ht="72.95" hidden="1" customHeight="1" spans="1:9">
      <c r="A35" s="367"/>
      <c r="B35" s="354" t="s">
        <v>55</v>
      </c>
      <c r="C35" s="392" t="s">
        <v>78</v>
      </c>
      <c r="D35" s="393" t="s">
        <v>125</v>
      </c>
      <c r="E35" s="371"/>
      <c r="F35" s="371" t="s">
        <v>108</v>
      </c>
      <c r="G35" s="371" t="s">
        <v>109</v>
      </c>
      <c r="H35" s="371" t="s">
        <v>238</v>
      </c>
      <c r="I35" s="394"/>
    </row>
    <row r="36" ht="21.95" hidden="1" customHeight="1" spans="1:9">
      <c r="A36" s="367"/>
      <c r="B36" s="396"/>
      <c r="C36" s="395" t="s">
        <v>3</v>
      </c>
      <c r="D36" s="352" t="s">
        <v>54</v>
      </c>
      <c r="E36" s="399" t="s">
        <v>6</v>
      </c>
      <c r="F36" s="399" t="s">
        <v>7</v>
      </c>
      <c r="G36" s="380" t="s">
        <v>8</v>
      </c>
      <c r="H36" s="358" t="s">
        <v>9</v>
      </c>
      <c r="I36" s="358" t="s">
        <v>10</v>
      </c>
    </row>
    <row r="37" ht="72.95" hidden="1" customHeight="1" spans="1:9">
      <c r="A37" s="367"/>
      <c r="B37" s="396"/>
      <c r="C37" s="398" t="s">
        <v>23</v>
      </c>
      <c r="D37" s="356" t="s">
        <v>67</v>
      </c>
      <c r="E37" s="76"/>
      <c r="F37" s="76"/>
      <c r="G37" s="400" t="s">
        <v>112</v>
      </c>
      <c r="H37" s="400" t="s">
        <v>239</v>
      </c>
      <c r="I37" s="401"/>
    </row>
    <row r="38" ht="72.95" hidden="1" customHeight="1" spans="1:9">
      <c r="A38" s="367"/>
      <c r="B38" s="369"/>
      <c r="C38" s="391"/>
      <c r="D38" s="356" t="s">
        <v>61</v>
      </c>
      <c r="E38" s="364" t="s">
        <v>111</v>
      </c>
      <c r="F38" s="371"/>
      <c r="G38" s="364"/>
      <c r="H38" s="76"/>
      <c r="I38" s="365"/>
    </row>
    <row r="39" ht="72.95" hidden="1" customHeight="1" spans="1:9">
      <c r="A39" s="367"/>
      <c r="B39" s="355" t="s">
        <v>114</v>
      </c>
      <c r="C39" s="392" t="s">
        <v>78</v>
      </c>
      <c r="D39" s="393" t="s">
        <v>83</v>
      </c>
      <c r="E39" s="371"/>
      <c r="F39" s="371" t="s">
        <v>115</v>
      </c>
      <c r="G39" s="371" t="s">
        <v>116</v>
      </c>
      <c r="I39" s="386"/>
    </row>
    <row r="40" ht="24.95" hidden="1" customHeight="1" spans="1:9">
      <c r="A40" s="367"/>
      <c r="B40" s="355"/>
      <c r="C40" s="395" t="s">
        <v>3</v>
      </c>
      <c r="D40" s="352" t="s">
        <v>54</v>
      </c>
      <c r="E40" s="380" t="s">
        <v>6</v>
      </c>
      <c r="F40" s="380" t="s">
        <v>7</v>
      </c>
      <c r="G40" s="380" t="s">
        <v>8</v>
      </c>
      <c r="H40" s="352" t="s">
        <v>9</v>
      </c>
      <c r="I40" s="358" t="s">
        <v>10</v>
      </c>
    </row>
  </sheetData>
  <autoFilter xmlns:etc="http://www.wps.cn/officeDocument/2017/etCustomData" ref="A3:I40" etc:filterBottomFollowUsedRange="0">
    <filterColumn colId="0">
      <customFilters>
        <customFilter operator="equal" val="市桥"/>
      </customFilters>
    </filterColumn>
    <filterColumn colId="1">
      <customFilters>
        <customFilter operator="equal" val="初一"/>
      </customFilters>
    </filterColumn>
    <extLst/>
  </autoFilter>
  <mergeCells count="28">
    <mergeCell ref="B1:G1"/>
    <mergeCell ref="B2:G2"/>
    <mergeCell ref="A4:A18"/>
    <mergeCell ref="A19:A22"/>
    <mergeCell ref="A23:A28"/>
    <mergeCell ref="A30:A40"/>
    <mergeCell ref="B4:B7"/>
    <mergeCell ref="B9:B13"/>
    <mergeCell ref="B14:B18"/>
    <mergeCell ref="B19:B22"/>
    <mergeCell ref="B23:B25"/>
    <mergeCell ref="B26:B28"/>
    <mergeCell ref="B30:B34"/>
    <mergeCell ref="B35:B38"/>
    <mergeCell ref="B39:B40"/>
    <mergeCell ref="C4:C8"/>
    <mergeCell ref="C9:C10"/>
    <mergeCell ref="C12:C13"/>
    <mergeCell ref="C14:C15"/>
    <mergeCell ref="C17:C18"/>
    <mergeCell ref="C19:C20"/>
    <mergeCell ref="C30:C31"/>
    <mergeCell ref="C33:C34"/>
    <mergeCell ref="C37:C38"/>
    <mergeCell ref="D4:D5"/>
    <mergeCell ref="D6:D8"/>
    <mergeCell ref="H1:H2"/>
    <mergeCell ref="I1:I2"/>
  </mergeCells>
  <conditionalFormatting sqref="E11:H11">
    <cfRule type="containsText" dxfId="0" priority="93" operator="between" text="!">
      <formula>NOT(ISERROR(SEARCH("!",E11)))</formula>
    </cfRule>
    <cfRule type="containsText" dxfId="1" priority="94" operator="between" text="未审核">
      <formula>NOT(ISERROR(SEARCH("未审核",E11)))</formula>
    </cfRule>
    <cfRule type="containsText" dxfId="2" priority="95" operator="between" text="预设班">
      <formula>NOT(ISERROR(SEARCH("预设班",E11)))</formula>
    </cfRule>
    <cfRule type="containsText" dxfId="3" priority="96" operator="between" text="教材">
      <formula>NOT(ISERROR(SEARCH("教材",E11)))</formula>
    </cfRule>
  </conditionalFormatting>
  <conditionalFormatting sqref="E16:H16">
    <cfRule type="containsText" dxfId="0" priority="85" operator="between" text="!">
      <formula>NOT(ISERROR(SEARCH("!",E16)))</formula>
    </cfRule>
    <cfRule type="containsText" dxfId="1" priority="86" operator="between" text="未审核">
      <formula>NOT(ISERROR(SEARCH("未审核",E16)))</formula>
    </cfRule>
    <cfRule type="containsText" dxfId="2" priority="87" operator="between" text="预设班">
      <formula>NOT(ISERROR(SEARCH("预设班",E16)))</formula>
    </cfRule>
    <cfRule type="containsText" dxfId="3" priority="88" operator="between" text="教材">
      <formula>NOT(ISERROR(SEARCH("教材",E16)))</formula>
    </cfRule>
  </conditionalFormatting>
  <conditionalFormatting sqref="E21:H21">
    <cfRule type="containsText" dxfId="0" priority="145" operator="between" text="!">
      <formula>NOT(ISERROR(SEARCH("!",E21)))</formula>
    </cfRule>
    <cfRule type="containsText" dxfId="1" priority="146" operator="between" text="未审核">
      <formula>NOT(ISERROR(SEARCH("未审核",E21)))</formula>
    </cfRule>
    <cfRule type="containsText" dxfId="2" priority="147" operator="between" text="预设班">
      <formula>NOT(ISERROR(SEARCH("预设班",E21)))</formula>
    </cfRule>
    <cfRule type="containsText" dxfId="3" priority="148" operator="between" text="教材">
      <formula>NOT(ISERROR(SEARCH("教材",E21)))</formula>
    </cfRule>
  </conditionalFormatting>
  <conditionalFormatting sqref="E24:H24">
    <cfRule type="containsText" dxfId="0" priority="129" operator="between" text="!">
      <formula>NOT(ISERROR(SEARCH("!",E24)))</formula>
    </cfRule>
    <cfRule type="containsText" dxfId="1" priority="130" operator="between" text="未审核">
      <formula>NOT(ISERROR(SEARCH("未审核",E24)))</formula>
    </cfRule>
    <cfRule type="containsText" dxfId="2" priority="131" operator="between" text="预设班">
      <formula>NOT(ISERROR(SEARCH("预设班",E24)))</formula>
    </cfRule>
    <cfRule type="containsText" dxfId="3" priority="132" operator="between" text="教材">
      <formula>NOT(ISERROR(SEARCH("教材",E24)))</formula>
    </cfRule>
  </conditionalFormatting>
  <conditionalFormatting sqref="E27:H27">
    <cfRule type="containsText" dxfId="0" priority="21" operator="between" text="!">
      <formula>NOT(ISERROR(SEARCH("!",E27)))</formula>
    </cfRule>
    <cfRule type="containsText" dxfId="1" priority="22" operator="between" text="未审核">
      <formula>NOT(ISERROR(SEARCH("未审核",E27)))</formula>
    </cfRule>
    <cfRule type="containsText" dxfId="2" priority="23" operator="between" text="预设班">
      <formula>NOT(ISERROR(SEARCH("预设班",E27)))</formula>
    </cfRule>
    <cfRule type="containsText" dxfId="3" priority="24" operator="between" text="教材">
      <formula>NOT(ISERROR(SEARCH("教材",E27)))</formula>
    </cfRule>
  </conditionalFormatting>
  <conditionalFormatting sqref="E32:H32">
    <cfRule type="containsText" dxfId="0" priority="113" operator="between" text="!">
      <formula>NOT(ISERROR(SEARCH("!",E32)))</formula>
    </cfRule>
    <cfRule type="containsText" dxfId="1" priority="114" operator="between" text="未审核">
      <formula>NOT(ISERROR(SEARCH("未审核",E32)))</formula>
    </cfRule>
    <cfRule type="containsText" dxfId="2" priority="115" operator="between" text="预设班">
      <formula>NOT(ISERROR(SEARCH("预设班",E32)))</formula>
    </cfRule>
    <cfRule type="containsText" dxfId="3" priority="116" operator="between" text="教材">
      <formula>NOT(ISERROR(SEARCH("教材",E32)))</formula>
    </cfRule>
  </conditionalFormatting>
  <conditionalFormatting sqref="E36:H36">
    <cfRule type="containsText" dxfId="0" priority="69" operator="between" text="!">
      <formula>NOT(ISERROR(SEARCH("!",E36)))</formula>
    </cfRule>
    <cfRule type="containsText" dxfId="1" priority="70" operator="between" text="未审核">
      <formula>NOT(ISERROR(SEARCH("未审核",E36)))</formula>
    </cfRule>
    <cfRule type="containsText" dxfId="2" priority="71" operator="between" text="预设班">
      <formula>NOT(ISERROR(SEARCH("预设班",E36)))</formula>
    </cfRule>
    <cfRule type="containsText" dxfId="3" priority="72" operator="between" text="教材">
      <formula>NOT(ISERROR(SEARCH("教材",E36)))</formula>
    </cfRule>
  </conditionalFormatting>
  <conditionalFormatting sqref="E40:H40">
    <cfRule type="containsText" dxfId="0" priority="53" operator="between" text="!">
      <formula>NOT(ISERROR(SEARCH("!",E40)))</formula>
    </cfRule>
    <cfRule type="containsText" dxfId="1" priority="54" operator="between" text="未审核">
      <formula>NOT(ISERROR(SEARCH("未审核",E40)))</formula>
    </cfRule>
    <cfRule type="containsText" dxfId="2" priority="55" operator="between" text="预设班">
      <formula>NOT(ISERROR(SEARCH("预设班",E40)))</formula>
    </cfRule>
    <cfRule type="containsText" dxfId="3" priority="56" operator="between" text="教材">
      <formula>NOT(ISERROR(SEARCH("教材",E40)))</formula>
    </cfRule>
  </conditionalFormatting>
  <conditionalFormatting sqref="D19:D20">
    <cfRule type="containsText" dxfId="0" priority="153" operator="between" text="!">
      <formula>NOT(ISERROR(SEARCH("!",D19)))</formula>
    </cfRule>
    <cfRule type="containsText" dxfId="1" priority="154" operator="between" text="未审核">
      <formula>NOT(ISERROR(SEARCH("未审核",D19)))</formula>
    </cfRule>
    <cfRule type="containsText" dxfId="2" priority="155" operator="between" text="预设班">
      <formula>NOT(ISERROR(SEARCH("预设班",D19)))</formula>
    </cfRule>
    <cfRule type="containsText" dxfId="3" priority="156" operator="between" text="教材">
      <formula>NOT(ISERROR(SEARCH("教材",D19)))</formula>
    </cfRule>
  </conditionalFormatting>
  <conditionalFormatting sqref="D22:D23">
    <cfRule type="containsText" dxfId="0" priority="105" operator="between" text="!">
      <formula>NOT(ISERROR(SEARCH("!",D22)))</formula>
    </cfRule>
    <cfRule type="containsText" dxfId="1" priority="106" operator="between" text="未审核">
      <formula>NOT(ISERROR(SEARCH("未审核",D22)))</formula>
    </cfRule>
    <cfRule type="containsText" dxfId="2" priority="107" operator="between" text="预设班">
      <formula>NOT(ISERROR(SEARCH("预设班",D22)))</formula>
    </cfRule>
    <cfRule type="containsText" dxfId="3" priority="108" operator="between" text="教材">
      <formula>NOT(ISERROR(SEARCH("教材",D22)))</formula>
    </cfRule>
  </conditionalFormatting>
  <conditionalFormatting sqref="D25:D26">
    <cfRule type="containsText" dxfId="0" priority="9" operator="between" text="!">
      <formula>NOT(ISERROR(SEARCH("!",D25)))</formula>
    </cfRule>
    <cfRule type="containsText" dxfId="1" priority="10" operator="between" text="未审核">
      <formula>NOT(ISERROR(SEARCH("未审核",D25)))</formula>
    </cfRule>
    <cfRule type="containsText" dxfId="2" priority="11" operator="between" text="预设班">
      <formula>NOT(ISERROR(SEARCH("预设班",D25)))</formula>
    </cfRule>
    <cfRule type="containsText" dxfId="3" priority="12" operator="between" text="教材">
      <formula>NOT(ISERROR(SEARCH("教材",D25)))</formula>
    </cfRule>
  </conditionalFormatting>
  <conditionalFormatting sqref="D28:D31">
    <cfRule type="containsText" dxfId="0" priority="1" operator="between" text="!">
      <formula>NOT(ISERROR(SEARCH("!",D28)))</formula>
    </cfRule>
    <cfRule type="containsText" dxfId="1" priority="2" operator="between" text="未审核">
      <formula>NOT(ISERROR(SEARCH("未审核",D28)))</formula>
    </cfRule>
    <cfRule type="containsText" dxfId="2" priority="3" operator="between" text="预设班">
      <formula>NOT(ISERROR(SEARCH("预设班",D28)))</formula>
    </cfRule>
    <cfRule type="containsText" dxfId="3" priority="4" operator="between" text="教材">
      <formula>NOT(ISERROR(SEARCH("教材",D28)))</formula>
    </cfRule>
  </conditionalFormatting>
  <conditionalFormatting sqref="D33:D35">
    <cfRule type="containsText" dxfId="0" priority="77" operator="between" text="!">
      <formula>NOT(ISERROR(SEARCH("!",D33)))</formula>
    </cfRule>
    <cfRule type="containsText" dxfId="1" priority="78" operator="between" text="未审核">
      <formula>NOT(ISERROR(SEARCH("未审核",D33)))</formula>
    </cfRule>
    <cfRule type="containsText" dxfId="2" priority="79" operator="between" text="预设班">
      <formula>NOT(ISERROR(SEARCH("预设班",D33)))</formula>
    </cfRule>
    <cfRule type="containsText" dxfId="3" priority="80" operator="between" text="教材">
      <formula>NOT(ISERROR(SEARCH("教材",D33)))</formula>
    </cfRule>
  </conditionalFormatting>
  <conditionalFormatting sqref="D37:D39">
    <cfRule type="containsText" dxfId="0" priority="61" operator="between" text="!">
      <formula>NOT(ISERROR(SEARCH("!",D37)))</formula>
    </cfRule>
    <cfRule type="containsText" dxfId="1" priority="62" operator="between" text="未审核">
      <formula>NOT(ISERROR(SEARCH("未审核",D37)))</formula>
    </cfRule>
    <cfRule type="containsText" dxfId="2" priority="63" operator="between" text="预设班">
      <formula>NOT(ISERROR(SEARCH("预设班",D37)))</formula>
    </cfRule>
    <cfRule type="containsText" dxfId="3" priority="64" operator="between" text="教材">
      <formula>NOT(ISERROR(SEARCH("教材",D37)))</formula>
    </cfRule>
  </conditionalFormatting>
  <conditionalFormatting sqref="I15:I16">
    <cfRule type="containsText" dxfId="0" priority="81" operator="between" text="!">
      <formula>NOT(ISERROR(SEARCH("!",I15)))</formula>
    </cfRule>
    <cfRule type="containsText" dxfId="1" priority="82" operator="between" text="未审核">
      <formula>NOT(ISERROR(SEARCH("未审核",I15)))</formula>
    </cfRule>
    <cfRule type="containsText" dxfId="2" priority="83" operator="between" text="预设班">
      <formula>NOT(ISERROR(SEARCH("预设班",I15)))</formula>
    </cfRule>
    <cfRule type="containsText" dxfId="3" priority="84" operator="between" text="教材">
      <formula>NOT(ISERROR(SEARCH("教材",I15)))</formula>
    </cfRule>
  </conditionalFormatting>
  <conditionalFormatting sqref="I19:I40">
    <cfRule type="containsText" dxfId="0" priority="17" operator="between" text="!">
      <formula>NOT(ISERROR(SEARCH("!",I19)))</formula>
    </cfRule>
    <cfRule type="containsText" dxfId="1" priority="18" operator="between" text="未审核">
      <formula>NOT(ISERROR(SEARCH("未审核",I19)))</formula>
    </cfRule>
    <cfRule type="containsText" dxfId="2" priority="19" operator="between" text="预设班">
      <formula>NOT(ISERROR(SEARCH("预设班",I19)))</formula>
    </cfRule>
    <cfRule type="containsText" dxfId="3" priority="20" operator="between" text="教材">
      <formula>NOT(ISERROR(SEARCH("教材",I19)))</formula>
    </cfRule>
  </conditionalFormatting>
  <conditionalFormatting sqref="E3:I3 D9:D10 D12:D13">
    <cfRule type="containsText" dxfId="0" priority="177" operator="between" text="!">
      <formula>NOT(ISERROR(SEARCH("!",D3)))</formula>
    </cfRule>
    <cfRule type="containsText" dxfId="1" priority="178" operator="between" text="未审核">
      <formula>NOT(ISERROR(SEARCH("未审核",D3)))</formula>
    </cfRule>
    <cfRule type="containsText" dxfId="2" priority="179" operator="between" text="预设班">
      <formula>NOT(ISERROR(SEARCH("预设班",D3)))</formula>
    </cfRule>
    <cfRule type="containsText" dxfId="3" priority="180" operator="between" text="教材">
      <formula>NOT(ISERROR(SEARCH("教材",D3)))</formula>
    </cfRule>
  </conditionalFormatting>
  <conditionalFormatting sqref="D4 H4 D6 I6:I13">
    <cfRule type="containsText" dxfId="0" priority="245" operator="between" text="!">
      <formula>NOT(ISERROR(SEARCH("!",D4)))</formula>
    </cfRule>
    <cfRule type="containsText" dxfId="1" priority="246" operator="between" text="未审核">
      <formula>NOT(ISERROR(SEARCH("未审核",D4)))</formula>
    </cfRule>
    <cfRule type="containsText" dxfId="2" priority="247" operator="between" text="预设班">
      <formula>NOT(ISERROR(SEARCH("预设班",D4)))</formula>
    </cfRule>
    <cfRule type="containsText" dxfId="3" priority="248" operator="between" text="教材">
      <formula>NOT(ISERROR(SEARCH("教材",D4)))</formula>
    </cfRule>
  </conditionalFormatting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zoomScale="80" zoomScaleNormal="80" workbookViewId="0">
      <selection activeCell="K13" sqref="K13:R13"/>
    </sheetView>
  </sheetViews>
  <sheetFormatPr defaultColWidth="9" defaultRowHeight="14" outlineLevelCol="7"/>
  <cols>
    <col min="1" max="1" width="8.37272727272727" customWidth="1"/>
    <col min="2" max="2" width="9.12727272727273" customWidth="1"/>
    <col min="3" max="3" width="9.87272727272727" style="228" customWidth="1"/>
    <col min="4" max="4" width="15.6272727272727" customWidth="1"/>
    <col min="5" max="5" width="15.5" customWidth="1"/>
    <col min="6" max="8" width="15.6272727272727" customWidth="1"/>
  </cols>
  <sheetData>
    <row r="1" ht="29.45" customHeight="1" spans="1:8">
      <c r="A1" s="302" t="s">
        <v>240</v>
      </c>
      <c r="B1" s="302"/>
      <c r="C1" s="302"/>
      <c r="D1" s="302"/>
      <c r="E1" s="302"/>
      <c r="F1" s="302"/>
      <c r="G1" s="303" t="s">
        <v>1</v>
      </c>
      <c r="H1" s="304"/>
    </row>
    <row r="2" ht="33" customHeight="1" spans="1:8">
      <c r="A2" s="305" t="s">
        <v>241</v>
      </c>
      <c r="B2" s="305"/>
      <c r="C2" s="305"/>
      <c r="D2" s="305"/>
      <c r="E2" s="305"/>
      <c r="F2" s="305"/>
      <c r="G2" s="306"/>
      <c r="H2" s="304"/>
    </row>
    <row r="3" s="301" customFormat="1" ht="17.1" customHeight="1" spans="1:8">
      <c r="A3" s="307" t="s">
        <v>53</v>
      </c>
      <c r="B3" s="308" t="s">
        <v>3</v>
      </c>
      <c r="C3" s="309" t="s">
        <v>54</v>
      </c>
      <c r="D3" s="310" t="s">
        <v>6</v>
      </c>
      <c r="E3" s="310" t="s">
        <v>7</v>
      </c>
      <c r="F3" s="310" t="s">
        <v>242</v>
      </c>
      <c r="G3" s="311" t="s">
        <v>243</v>
      </c>
      <c r="H3" s="312" t="s">
        <v>10</v>
      </c>
    </row>
    <row r="4" ht="60.95" hidden="1" customHeight="1" spans="1:8">
      <c r="A4" s="313" t="s">
        <v>77</v>
      </c>
      <c r="B4" s="314" t="s">
        <v>244</v>
      </c>
      <c r="C4" s="271" t="s">
        <v>245</v>
      </c>
      <c r="D4" s="315" t="s">
        <v>246</v>
      </c>
      <c r="E4" s="316" t="s">
        <v>247</v>
      </c>
      <c r="F4" s="315" t="s">
        <v>248</v>
      </c>
      <c r="G4" s="317" t="s">
        <v>249</v>
      </c>
      <c r="H4" s="318" t="s">
        <v>176</v>
      </c>
    </row>
    <row r="5" ht="65.45" hidden="1" customHeight="1" spans="1:8">
      <c r="A5" s="319"/>
      <c r="B5" s="320"/>
      <c r="C5" s="271"/>
      <c r="D5" s="315" t="s">
        <v>250</v>
      </c>
      <c r="E5" s="317" t="s">
        <v>251</v>
      </c>
      <c r="F5" s="321" t="s">
        <v>252</v>
      </c>
      <c r="G5" s="230"/>
      <c r="H5" s="322"/>
    </row>
    <row r="6" ht="71.1" hidden="1" customHeight="1" spans="1:8">
      <c r="A6" s="319"/>
      <c r="B6" s="323" t="s">
        <v>253</v>
      </c>
      <c r="C6" s="324" t="s">
        <v>254</v>
      </c>
      <c r="D6" s="325"/>
      <c r="E6" s="325" t="s">
        <v>255</v>
      </c>
      <c r="F6" s="326" t="s">
        <v>256</v>
      </c>
      <c r="G6" s="315" t="s">
        <v>257</v>
      </c>
      <c r="H6" s="327"/>
    </row>
    <row r="7" ht="16.5" hidden="1" spans="1:8">
      <c r="A7" s="319"/>
      <c r="B7" s="328" t="s">
        <v>258</v>
      </c>
      <c r="C7" s="274" t="s">
        <v>54</v>
      </c>
      <c r="D7" s="271" t="s">
        <v>6</v>
      </c>
      <c r="E7" s="271" t="s">
        <v>7</v>
      </c>
      <c r="F7" s="310" t="s">
        <v>242</v>
      </c>
      <c r="G7" s="329" t="s">
        <v>243</v>
      </c>
      <c r="H7" s="312" t="s">
        <v>10</v>
      </c>
    </row>
    <row r="8" ht="62.1" customHeight="1" spans="1:8">
      <c r="A8" s="319"/>
      <c r="B8" s="330"/>
      <c r="C8" s="271" t="s">
        <v>259</v>
      </c>
      <c r="D8" s="315" t="s">
        <v>260</v>
      </c>
      <c r="E8" s="331" t="s">
        <v>261</v>
      </c>
      <c r="F8" s="315" t="s">
        <v>262</v>
      </c>
      <c r="G8" s="332" t="s">
        <v>263</v>
      </c>
      <c r="H8" s="318" t="s">
        <v>176</v>
      </c>
    </row>
    <row r="9" ht="53.1" customHeight="1" spans="1:8">
      <c r="A9" s="319"/>
      <c r="B9" s="330"/>
      <c r="C9" s="271"/>
      <c r="D9" s="315" t="s">
        <v>264</v>
      </c>
      <c r="E9" s="315" t="s">
        <v>265</v>
      </c>
      <c r="F9" s="321" t="s">
        <v>266</v>
      </c>
      <c r="G9" s="322"/>
      <c r="H9" s="322"/>
    </row>
    <row r="10" ht="50.45" customHeight="1" spans="1:8">
      <c r="A10" s="333"/>
      <c r="B10" s="334"/>
      <c r="C10" s="271" t="s">
        <v>267</v>
      </c>
      <c r="D10" s="315"/>
      <c r="E10" s="315" t="s">
        <v>268</v>
      </c>
      <c r="F10" s="315" t="s">
        <v>269</v>
      </c>
      <c r="G10" s="315"/>
      <c r="H10" s="327"/>
    </row>
    <row r="15" ht="23" spans="1:8">
      <c r="A15" s="335" t="s">
        <v>270</v>
      </c>
      <c r="B15" s="335"/>
      <c r="C15" s="335"/>
      <c r="D15" s="335"/>
      <c r="E15" s="335"/>
    </row>
    <row r="16" ht="15" spans="1:8">
      <c r="A16" s="336" t="s">
        <v>271</v>
      </c>
      <c r="B16" s="336" t="s">
        <v>272</v>
      </c>
      <c r="C16" s="337" t="s">
        <v>273</v>
      </c>
      <c r="D16" s="336" t="s">
        <v>274</v>
      </c>
      <c r="E16" s="336" t="s">
        <v>275</v>
      </c>
    </row>
    <row r="17" ht="30" spans="1:5">
      <c r="A17" s="338" t="s">
        <v>276</v>
      </c>
      <c r="B17" s="338" t="s">
        <v>277</v>
      </c>
      <c r="C17" s="339" t="s">
        <v>278</v>
      </c>
      <c r="D17" s="338" t="s">
        <v>279</v>
      </c>
      <c r="E17" s="340" t="s">
        <v>280</v>
      </c>
    </row>
    <row r="18" ht="30" spans="1:5">
      <c r="A18" s="338" t="s">
        <v>281</v>
      </c>
      <c r="B18" s="338" t="s">
        <v>282</v>
      </c>
      <c r="C18" s="339" t="s">
        <v>283</v>
      </c>
      <c r="D18" s="338" t="s">
        <v>284</v>
      </c>
      <c r="E18" s="340" t="s">
        <v>285</v>
      </c>
    </row>
    <row r="19" ht="30" spans="1:5">
      <c r="A19" s="338" t="s">
        <v>286</v>
      </c>
      <c r="B19" s="338" t="s">
        <v>287</v>
      </c>
      <c r="C19" s="341">
        <v>45235</v>
      </c>
      <c r="D19" s="338" t="s">
        <v>288</v>
      </c>
      <c r="E19" s="340" t="s">
        <v>289</v>
      </c>
    </row>
    <row r="20" ht="90" spans="1:5">
      <c r="A20" s="338" t="s">
        <v>290</v>
      </c>
      <c r="B20" s="338" t="s">
        <v>277</v>
      </c>
      <c r="C20" s="341">
        <v>45235</v>
      </c>
      <c r="D20" s="338" t="s">
        <v>279</v>
      </c>
      <c r="E20" s="340" t="s">
        <v>291</v>
      </c>
    </row>
    <row r="21" ht="30" spans="1:5">
      <c r="A21" s="338" t="s">
        <v>292</v>
      </c>
      <c r="B21" s="338" t="s">
        <v>293</v>
      </c>
      <c r="C21" s="341">
        <v>45235</v>
      </c>
      <c r="D21" s="338" t="s">
        <v>294</v>
      </c>
      <c r="E21" s="340" t="s">
        <v>295</v>
      </c>
    </row>
    <row r="22" ht="45" spans="1:5">
      <c r="A22" s="338" t="s">
        <v>296</v>
      </c>
      <c r="B22" s="338" t="s">
        <v>297</v>
      </c>
      <c r="C22" s="341">
        <v>45235</v>
      </c>
      <c r="D22" s="338" t="s">
        <v>294</v>
      </c>
      <c r="E22" s="340" t="s">
        <v>298</v>
      </c>
    </row>
    <row r="23" ht="60" spans="1:5">
      <c r="A23" s="338" t="s">
        <v>299</v>
      </c>
      <c r="B23" s="338" t="s">
        <v>300</v>
      </c>
      <c r="C23" s="339" t="s">
        <v>301</v>
      </c>
      <c r="D23" s="338" t="s">
        <v>294</v>
      </c>
      <c r="E23" s="340" t="s">
        <v>302</v>
      </c>
    </row>
    <row r="24" ht="30" spans="1:5">
      <c r="A24" s="338" t="s">
        <v>303</v>
      </c>
      <c r="B24" s="338" t="s">
        <v>304</v>
      </c>
      <c r="C24" s="339" t="s">
        <v>305</v>
      </c>
      <c r="D24" s="338" t="s">
        <v>294</v>
      </c>
      <c r="E24" s="340" t="s">
        <v>306</v>
      </c>
    </row>
    <row r="25" ht="30" spans="1:5">
      <c r="A25" s="338" t="s">
        <v>307</v>
      </c>
      <c r="B25" s="338" t="s">
        <v>308</v>
      </c>
      <c r="C25" s="339" t="s">
        <v>309</v>
      </c>
      <c r="D25" s="338" t="s">
        <v>294</v>
      </c>
      <c r="E25" s="340" t="s">
        <v>310</v>
      </c>
    </row>
    <row r="26" ht="45" spans="1:5">
      <c r="A26" s="338" t="s">
        <v>311</v>
      </c>
      <c r="B26" s="338" t="s">
        <v>312</v>
      </c>
      <c r="C26" s="339" t="s">
        <v>313</v>
      </c>
      <c r="D26" s="338" t="s">
        <v>294</v>
      </c>
      <c r="E26" s="340" t="s">
        <v>314</v>
      </c>
    </row>
    <row r="27" ht="30" spans="1:5">
      <c r="A27" s="338" t="s">
        <v>315</v>
      </c>
      <c r="B27" s="338" t="s">
        <v>316</v>
      </c>
      <c r="C27" s="341">
        <v>45249</v>
      </c>
      <c r="D27" s="338" t="s">
        <v>288</v>
      </c>
      <c r="E27" s="340" t="s">
        <v>317</v>
      </c>
    </row>
    <row r="28" ht="75" spans="1:5">
      <c r="A28" s="338" t="s">
        <v>318</v>
      </c>
      <c r="B28" s="338" t="s">
        <v>319</v>
      </c>
      <c r="C28" s="341">
        <v>45256</v>
      </c>
      <c r="D28" s="338" t="s">
        <v>294</v>
      </c>
      <c r="E28" s="340" t="s">
        <v>320</v>
      </c>
    </row>
    <row r="29" ht="45" spans="1:5">
      <c r="A29" s="338" t="s">
        <v>321</v>
      </c>
      <c r="B29" s="338" t="s">
        <v>322</v>
      </c>
      <c r="C29" s="341">
        <v>45283</v>
      </c>
      <c r="D29" s="338" t="s">
        <v>288</v>
      </c>
      <c r="E29" s="340" t="s">
        <v>323</v>
      </c>
    </row>
    <row r="30" ht="15" spans="1:5">
      <c r="A30" s="338" t="s">
        <v>324</v>
      </c>
      <c r="B30" s="338" t="s">
        <v>325</v>
      </c>
      <c r="C30" s="341">
        <v>45263</v>
      </c>
      <c r="D30" s="338" t="s">
        <v>288</v>
      </c>
      <c r="E30" s="340" t="s">
        <v>288</v>
      </c>
    </row>
    <row r="31" ht="30" spans="1:5">
      <c r="A31" s="338" t="s">
        <v>326</v>
      </c>
      <c r="B31" s="338" t="s">
        <v>327</v>
      </c>
      <c r="C31" s="341">
        <v>45263</v>
      </c>
      <c r="D31" s="338" t="s">
        <v>288</v>
      </c>
      <c r="E31" s="340" t="s">
        <v>328</v>
      </c>
    </row>
  </sheetData>
  <mergeCells count="10">
    <mergeCell ref="A1:F1"/>
    <mergeCell ref="A2:F2"/>
    <mergeCell ref="A15:E15"/>
    <mergeCell ref="A4:A10"/>
    <mergeCell ref="B4:B5"/>
    <mergeCell ref="B7:B10"/>
    <mergeCell ref="C4:C5"/>
    <mergeCell ref="C8:C9"/>
    <mergeCell ref="G1:G2"/>
    <mergeCell ref="H1:H2"/>
  </mergeCells>
  <conditionalFormatting sqref="D3:H3">
    <cfRule type="containsText" dxfId="0" priority="17" operator="between" text="!">
      <formula>NOT(ISERROR(SEARCH("!",D3)))</formula>
    </cfRule>
    <cfRule type="containsText" dxfId="1" priority="18" operator="between" text="未审核">
      <formula>NOT(ISERROR(SEARCH("未审核",D3)))</formula>
    </cfRule>
    <cfRule type="containsText" dxfId="2" priority="19" operator="between" text="预设班">
      <formula>NOT(ISERROR(SEARCH("预设班",D3)))</formula>
    </cfRule>
    <cfRule type="containsText" dxfId="3" priority="20" operator="between" text="教材">
      <formula>NOT(ISERROR(SEARCH("教材",D3)))</formula>
    </cfRule>
  </conditionalFormatting>
  <conditionalFormatting sqref="D7:F7">
    <cfRule type="containsText" dxfId="0" priority="1" operator="between" text="!">
      <formula>NOT(ISERROR(SEARCH("!",D7)))</formula>
    </cfRule>
    <cfRule type="containsText" dxfId="1" priority="2" operator="between" text="未审核">
      <formula>NOT(ISERROR(SEARCH("未审核",D7)))</formula>
    </cfRule>
    <cfRule type="containsText" dxfId="2" priority="3" operator="between" text="预设班">
      <formula>NOT(ISERROR(SEARCH("预设班",D7)))</formula>
    </cfRule>
    <cfRule type="containsText" dxfId="3" priority="4" operator="between" text="教材">
      <formula>NOT(ISERROR(SEARCH("教材",D7)))</formula>
    </cfRule>
  </conditionalFormatting>
  <conditionalFormatting sqref="G7:G8">
    <cfRule type="containsText" dxfId="0" priority="5" operator="between" text="!">
      <formula>NOT(ISERROR(SEARCH("!",G7)))</formula>
    </cfRule>
    <cfRule type="containsText" dxfId="1" priority="6" operator="between" text="未审核">
      <formula>NOT(ISERROR(SEARCH("未审核",G7)))</formula>
    </cfRule>
    <cfRule type="containsText" dxfId="2" priority="7" operator="between" text="预设班">
      <formula>NOT(ISERROR(SEARCH("预设班",G7)))</formula>
    </cfRule>
    <cfRule type="containsText" dxfId="3" priority="8" operator="between" text="教材">
      <formula>NOT(ISERROR(SEARCH("教材",G7)))</formula>
    </cfRule>
  </conditionalFormatting>
  <conditionalFormatting sqref="H6:H7">
    <cfRule type="containsText" dxfId="0" priority="13" operator="between" text="!">
      <formula>NOT(ISERROR(SEARCH("!",H6)))</formula>
    </cfRule>
    <cfRule type="containsText" dxfId="1" priority="14" operator="between" text="未审核">
      <formula>NOT(ISERROR(SEARCH("未审核",H6)))</formula>
    </cfRule>
    <cfRule type="containsText" dxfId="2" priority="15" operator="between" text="预设班">
      <formula>NOT(ISERROR(SEARCH("预设班",H6)))</formula>
    </cfRule>
    <cfRule type="containsText" dxfId="3" priority="16" operator="between" text="教材">
      <formula>NOT(ISERROR(SEARCH("教材",H6)))</formula>
    </cfRule>
  </conditionalFormatting>
  <conditionalFormatting sqref="C4 G4 C6">
    <cfRule type="containsText" dxfId="0" priority="21" operator="between" text="!">
      <formula>NOT(ISERROR(SEARCH("!",C4)))</formula>
    </cfRule>
    <cfRule type="containsText" dxfId="1" priority="22" operator="between" text="未审核">
      <formula>NOT(ISERROR(SEARCH("未审核",C4)))</formula>
    </cfRule>
    <cfRule type="containsText" dxfId="2" priority="23" operator="between" text="预设班">
      <formula>NOT(ISERROR(SEARCH("预设班",C4)))</formula>
    </cfRule>
    <cfRule type="containsText" dxfId="3" priority="24" operator="between" text="教材">
      <formula>NOT(ISERROR(SEARCH("教材",C4)))</formula>
    </cfRule>
  </conditionalFormatting>
  <conditionalFormatting sqref="C8 C10 H10">
    <cfRule type="containsText" dxfId="0" priority="9" operator="between" text="!">
      <formula>NOT(ISERROR(SEARCH("!",C8)))</formula>
    </cfRule>
    <cfRule type="containsText" dxfId="1" priority="10" operator="between" text="未审核">
      <formula>NOT(ISERROR(SEARCH("未审核",C8)))</formula>
    </cfRule>
    <cfRule type="containsText" dxfId="2" priority="11" operator="between" text="预设班">
      <formula>NOT(ISERROR(SEARCH("预设班",C8)))</formula>
    </cfRule>
    <cfRule type="containsText" dxfId="3" priority="12" operator="between" text="教材">
      <formula>NOT(ISERROR(SEARCH("教材",C8)))</formula>
    </cfRule>
  </conditionalFormatting>
  <pageMargins left="0.7" right="0.7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"/>
  <sheetViews>
    <sheetView topLeftCell="B1" workbookViewId="0">
      <selection activeCell="K13" sqref="K13:R13"/>
    </sheetView>
  </sheetViews>
  <sheetFormatPr defaultColWidth="9" defaultRowHeight="14"/>
  <cols>
    <col min="1" max="1" width="8.62727272727273" customWidth="1"/>
    <col min="2" max="2" width="7.37272727272727" customWidth="1"/>
    <col min="3" max="3" width="8.5" customWidth="1"/>
    <col min="4" max="8" width="12.6272727272727" customWidth="1"/>
    <col min="11" max="11" width="13.5" customWidth="1"/>
  </cols>
  <sheetData>
    <row r="1" ht="27.95" customHeight="1" spans="1:16">
      <c r="A1" s="270" t="s">
        <v>240</v>
      </c>
      <c r="B1" s="270"/>
      <c r="C1" s="270"/>
      <c r="D1" s="270"/>
      <c r="E1" s="270"/>
      <c r="F1" s="270"/>
      <c r="G1" s="271" t="s">
        <v>1</v>
      </c>
      <c r="H1" s="272"/>
    </row>
    <row r="2" ht="26.45" customHeight="1" spans="1:16">
      <c r="A2" s="184" t="s">
        <v>241</v>
      </c>
      <c r="B2" s="184"/>
      <c r="C2" s="184"/>
      <c r="D2" s="184"/>
      <c r="E2" s="184"/>
      <c r="F2" s="184"/>
      <c r="G2" s="274"/>
      <c r="H2" s="272"/>
    </row>
    <row r="3" ht="18" customHeight="1" spans="1:16">
      <c r="A3" s="275" t="s">
        <v>53</v>
      </c>
      <c r="B3" s="276" t="s">
        <v>3</v>
      </c>
      <c r="C3" s="277" t="s">
        <v>54</v>
      </c>
      <c r="D3" s="278" t="s">
        <v>6</v>
      </c>
      <c r="E3" s="278" t="s">
        <v>7</v>
      </c>
      <c r="F3" s="278" t="s">
        <v>242</v>
      </c>
      <c r="G3" s="279" t="s">
        <v>243</v>
      </c>
      <c r="H3" s="280" t="s">
        <v>10</v>
      </c>
      <c r="N3" s="230" t="s">
        <v>329</v>
      </c>
    </row>
    <row r="4" ht="55.5" hidden="1" customHeight="1" spans="1:16">
      <c r="A4" s="281" t="s">
        <v>55</v>
      </c>
      <c r="B4" s="282" t="s">
        <v>244</v>
      </c>
      <c r="C4" s="283" t="s">
        <v>245</v>
      </c>
      <c r="D4" s="296" t="s">
        <v>330</v>
      </c>
      <c r="E4" s="299" t="s">
        <v>331</v>
      </c>
      <c r="F4" s="295" t="s">
        <v>332</v>
      </c>
      <c r="G4" s="295" t="s">
        <v>333</v>
      </c>
      <c r="H4" s="287" t="s">
        <v>334</v>
      </c>
    </row>
    <row r="5" ht="39.95" hidden="1" customHeight="1" spans="1:16">
      <c r="A5" s="288"/>
      <c r="B5" s="282" t="s">
        <v>253</v>
      </c>
      <c r="C5" s="283" t="s">
        <v>254</v>
      </c>
      <c r="D5" s="290" t="s">
        <v>335</v>
      </c>
      <c r="E5" s="295" t="s">
        <v>336</v>
      </c>
      <c r="F5" s="296" t="s">
        <v>337</v>
      </c>
      <c r="G5" s="290"/>
      <c r="H5" s="291"/>
    </row>
    <row r="6" ht="17.1" hidden="1" customHeight="1" spans="1:16">
      <c r="A6" s="288"/>
      <c r="B6" s="292" t="s">
        <v>3</v>
      </c>
      <c r="C6" s="293" t="s">
        <v>54</v>
      </c>
      <c r="D6" s="283" t="s">
        <v>6</v>
      </c>
      <c r="E6" s="278" t="s">
        <v>7</v>
      </c>
      <c r="F6" s="278" t="s">
        <v>242</v>
      </c>
      <c r="G6" s="279" t="s">
        <v>243</v>
      </c>
      <c r="H6" s="280" t="s">
        <v>10</v>
      </c>
    </row>
    <row r="7" ht="54" customHeight="1" spans="1:16">
      <c r="A7" s="288"/>
      <c r="B7" s="294" t="s">
        <v>258</v>
      </c>
      <c r="C7" s="283" t="s">
        <v>259</v>
      </c>
      <c r="D7" s="296" t="s">
        <v>338</v>
      </c>
      <c r="E7" s="295" t="s">
        <v>339</v>
      </c>
      <c r="F7" s="295" t="s">
        <v>340</v>
      </c>
      <c r="G7" s="295" t="s">
        <v>341</v>
      </c>
      <c r="H7" s="287" t="s">
        <v>334</v>
      </c>
      <c r="K7" s="230" t="s">
        <v>342</v>
      </c>
      <c r="N7" s="230" t="s">
        <v>343</v>
      </c>
    </row>
    <row r="8" ht="39.95" customHeight="1" spans="1:16">
      <c r="A8" s="297"/>
      <c r="B8" s="294"/>
      <c r="C8" s="283" t="s">
        <v>267</v>
      </c>
      <c r="D8" s="295" t="s">
        <v>344</v>
      </c>
      <c r="E8" s="295" t="s">
        <v>345</v>
      </c>
      <c r="F8" s="296" t="s">
        <v>346</v>
      </c>
      <c r="G8" s="300"/>
      <c r="H8" s="291"/>
      <c r="K8" s="230" t="s">
        <v>347</v>
      </c>
      <c r="L8" s="230" t="s">
        <v>348</v>
      </c>
      <c r="N8" s="230" t="s">
        <v>349</v>
      </c>
    </row>
    <row r="9" spans="1:16">
      <c r="K9" s="230" t="s">
        <v>350</v>
      </c>
      <c r="L9" s="230" t="s">
        <v>351</v>
      </c>
      <c r="M9" s="230" t="s">
        <v>352</v>
      </c>
      <c r="N9" s="230" t="s">
        <v>353</v>
      </c>
      <c r="O9" s="230" t="s">
        <v>354</v>
      </c>
      <c r="P9" s="230" t="s">
        <v>355</v>
      </c>
    </row>
    <row r="10" spans="1:16">
      <c r="K10" s="230" t="s">
        <v>356</v>
      </c>
    </row>
  </sheetData>
  <mergeCells count="6">
    <mergeCell ref="A1:F1"/>
    <mergeCell ref="A2:F2"/>
    <mergeCell ref="A4:A8"/>
    <mergeCell ref="B7:B8"/>
    <mergeCell ref="G1:G2"/>
    <mergeCell ref="H1:H2"/>
  </mergeCells>
  <conditionalFormatting sqref="D3:H3">
    <cfRule type="containsText" dxfId="0" priority="5" operator="between" text="!">
      <formula>NOT(ISERROR(SEARCH("!",D3)))</formula>
    </cfRule>
    <cfRule type="containsText" dxfId="1" priority="6" operator="between" text="未审核">
      <formula>NOT(ISERROR(SEARCH("未审核",D3)))</formula>
    </cfRule>
    <cfRule type="containsText" dxfId="2" priority="7" operator="between" text="预设班">
      <formula>NOT(ISERROR(SEARCH("预设班",D3)))</formula>
    </cfRule>
    <cfRule type="containsText" dxfId="3" priority="8" operator="between" text="教材">
      <formula>NOT(ISERROR(SEARCH("教材",D3)))</formula>
    </cfRule>
  </conditionalFormatting>
  <conditionalFormatting sqref="D6:G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conditionalFormatting sqref="C4:C5">
    <cfRule type="containsText" dxfId="0" priority="29" operator="between" text="!">
      <formula>NOT(ISERROR(SEARCH("!",C4)))</formula>
    </cfRule>
    <cfRule type="containsText" dxfId="1" priority="30" operator="between" text="未审核">
      <formula>NOT(ISERROR(SEARCH("未审核",C4)))</formula>
    </cfRule>
    <cfRule type="containsText" dxfId="2" priority="31" operator="between" text="预设班">
      <formula>NOT(ISERROR(SEARCH("预设班",C4)))</formula>
    </cfRule>
    <cfRule type="containsText" dxfId="3" priority="32" operator="between" text="教材">
      <formula>NOT(ISERROR(SEARCH("教材",C4)))</formula>
    </cfRule>
  </conditionalFormatting>
  <conditionalFormatting sqref="H5:H6">
    <cfRule type="containsText" dxfId="0" priority="21" operator="between" text="!">
      <formula>NOT(ISERROR(SEARCH("!",H5)))</formula>
    </cfRule>
    <cfRule type="containsText" dxfId="1" priority="22" operator="between" text="未审核">
      <formula>NOT(ISERROR(SEARCH("未审核",H5)))</formula>
    </cfRule>
    <cfRule type="containsText" dxfId="2" priority="23" operator="between" text="预设班">
      <formula>NOT(ISERROR(SEARCH("预设班",H5)))</formula>
    </cfRule>
    <cfRule type="containsText" dxfId="3" priority="24" operator="between" text="教材">
      <formula>NOT(ISERROR(SEARCH("教材",H5)))</formula>
    </cfRule>
  </conditionalFormatting>
  <conditionalFormatting sqref="C7:C8 H8">
    <cfRule type="containsText" dxfId="0" priority="17" operator="between" text="!">
      <formula>NOT(ISERROR(SEARCH("!",C7)))</formula>
    </cfRule>
    <cfRule type="containsText" dxfId="1" priority="18" operator="between" text="未审核">
      <formula>NOT(ISERROR(SEARCH("未审核",C7)))</formula>
    </cfRule>
    <cfRule type="containsText" dxfId="2" priority="19" operator="between" text="预设班">
      <formula>NOT(ISERROR(SEARCH("预设班",C7)))</formula>
    </cfRule>
    <cfRule type="containsText" dxfId="3" priority="20" operator="between" text="教材">
      <formula>NOT(ISERROR(SEARCH("教材",C7)))</formula>
    </cfRule>
  </conditionalFormatting>
  <pageMargins left="0.7" right="0.7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K13" sqref="K13:R13"/>
    </sheetView>
  </sheetViews>
  <sheetFormatPr defaultColWidth="9" defaultRowHeight="14" outlineLevelRow="7" outlineLevelCol="7"/>
  <cols>
    <col min="1" max="1" width="6.5" customWidth="1"/>
    <col min="2" max="2" width="7.62727272727273" customWidth="1"/>
    <col min="3" max="3" width="8.5" customWidth="1"/>
    <col min="4" max="7" width="12.6272727272727" customWidth="1"/>
    <col min="8" max="8" width="12.1272727272727" customWidth="1"/>
  </cols>
  <sheetData>
    <row r="1" ht="29.1" customHeight="1" spans="1:8">
      <c r="A1" s="270" t="s">
        <v>240</v>
      </c>
      <c r="B1" s="270"/>
      <c r="C1" s="270"/>
      <c r="D1" s="270"/>
      <c r="E1" s="270"/>
      <c r="F1" s="270"/>
      <c r="G1" s="271" t="s">
        <v>1</v>
      </c>
      <c r="H1" s="272"/>
    </row>
    <row r="2" ht="28.5" customHeight="1" spans="1:8">
      <c r="A2" s="273" t="s">
        <v>357</v>
      </c>
      <c r="B2" s="273"/>
      <c r="C2" s="273"/>
      <c r="D2" s="273"/>
      <c r="E2" s="273"/>
      <c r="F2" s="273"/>
      <c r="G2" s="274"/>
      <c r="H2" s="272"/>
    </row>
    <row r="3" ht="20.45" customHeight="1" spans="1:8">
      <c r="A3" s="275" t="s">
        <v>53</v>
      </c>
      <c r="B3" s="276" t="s">
        <v>3</v>
      </c>
      <c r="C3" s="277" t="s">
        <v>54</v>
      </c>
      <c r="D3" s="278" t="s">
        <v>6</v>
      </c>
      <c r="E3" s="278" t="s">
        <v>7</v>
      </c>
      <c r="F3" s="278" t="s">
        <v>242</v>
      </c>
      <c r="G3" s="279" t="s">
        <v>243</v>
      </c>
      <c r="H3" s="280" t="s">
        <v>10</v>
      </c>
    </row>
    <row r="4" ht="57.6" hidden="1" customHeight="1" spans="1:8">
      <c r="A4" s="281" t="s">
        <v>66</v>
      </c>
      <c r="B4" s="282" t="s">
        <v>244</v>
      </c>
      <c r="C4" s="283" t="s">
        <v>245</v>
      </c>
      <c r="D4" s="284" t="s">
        <v>358</v>
      </c>
      <c r="E4" s="285" t="s">
        <v>359</v>
      </c>
      <c r="F4" s="284" t="s">
        <v>360</v>
      </c>
      <c r="G4" s="286" t="s">
        <v>361</v>
      </c>
      <c r="H4" s="287" t="s">
        <v>334</v>
      </c>
    </row>
    <row r="5" ht="42.6" hidden="1" customHeight="1" spans="1:8">
      <c r="A5" s="288"/>
      <c r="B5" s="282" t="s">
        <v>253</v>
      </c>
      <c r="C5" s="283" t="s">
        <v>254</v>
      </c>
      <c r="D5" s="289" t="s">
        <v>362</v>
      </c>
      <c r="E5" s="289" t="s">
        <v>363</v>
      </c>
      <c r="F5" s="290" t="s">
        <v>364</v>
      </c>
      <c r="G5" s="289" t="s">
        <v>365</v>
      </c>
      <c r="H5" s="291"/>
    </row>
    <row r="6" ht="18.95" hidden="1" customHeight="1" spans="1:8">
      <c r="A6" s="288"/>
      <c r="B6" s="292" t="s">
        <v>3</v>
      </c>
      <c r="C6" s="293" t="s">
        <v>54</v>
      </c>
      <c r="D6" s="283" t="s">
        <v>6</v>
      </c>
      <c r="E6" s="278" t="s">
        <v>7</v>
      </c>
      <c r="F6" s="278" t="s">
        <v>242</v>
      </c>
      <c r="G6" s="279" t="s">
        <v>243</v>
      </c>
      <c r="H6" s="280" t="s">
        <v>10</v>
      </c>
    </row>
    <row r="7" ht="39.95" customHeight="1" spans="1:8">
      <c r="A7" s="288"/>
      <c r="B7" s="294" t="s">
        <v>258</v>
      </c>
      <c r="C7" s="283" t="s">
        <v>259</v>
      </c>
      <c r="D7" s="295" t="s">
        <v>366</v>
      </c>
      <c r="E7" s="296" t="s">
        <v>367</v>
      </c>
      <c r="F7" s="295" t="s">
        <v>368</v>
      </c>
      <c r="G7" s="289" t="s">
        <v>369</v>
      </c>
      <c r="H7" s="287" t="s">
        <v>334</v>
      </c>
    </row>
    <row r="8" ht="39.95" customHeight="1" spans="1:8">
      <c r="A8" s="297"/>
      <c r="B8" s="294"/>
      <c r="C8" s="283" t="s">
        <v>267</v>
      </c>
      <c r="D8" s="290" t="s">
        <v>370</v>
      </c>
      <c r="E8" s="290" t="s">
        <v>371</v>
      </c>
      <c r="F8" s="290" t="s">
        <v>372</v>
      </c>
      <c r="G8" s="298" t="s">
        <v>373</v>
      </c>
      <c r="H8" s="291"/>
    </row>
  </sheetData>
  <mergeCells count="6">
    <mergeCell ref="A1:F1"/>
    <mergeCell ref="A2:F2"/>
    <mergeCell ref="A4:A8"/>
    <mergeCell ref="B7:B8"/>
    <mergeCell ref="G1:G2"/>
    <mergeCell ref="H1:H2"/>
  </mergeCells>
  <conditionalFormatting sqref="D3:H3">
    <cfRule type="containsText" dxfId="0" priority="5" operator="between" text="!">
      <formula>NOT(ISERROR(SEARCH("!",D3)))</formula>
    </cfRule>
    <cfRule type="containsText" dxfId="1" priority="6" operator="between" text="未审核">
      <formula>NOT(ISERROR(SEARCH("未审核",D3)))</formula>
    </cfRule>
    <cfRule type="containsText" dxfId="2" priority="7" operator="between" text="预设班">
      <formula>NOT(ISERROR(SEARCH("预设班",D3)))</formula>
    </cfRule>
    <cfRule type="containsText" dxfId="3" priority="8" operator="between" text="教材">
      <formula>NOT(ISERROR(SEARCH("教材",D3)))</formula>
    </cfRule>
  </conditionalFormatting>
  <conditionalFormatting sqref="D5">
    <cfRule type="containsText" dxfId="0" priority="17" operator="between" text="!">
      <formula>NOT(ISERROR(SEARCH("!",D5)))</formula>
    </cfRule>
    <cfRule type="containsText" dxfId="1" priority="18" operator="between" text="未审核">
      <formula>NOT(ISERROR(SEARCH("未审核",D5)))</formula>
    </cfRule>
    <cfRule type="containsText" dxfId="2" priority="19" operator="between" text="预设班">
      <formula>NOT(ISERROR(SEARCH("预设班",D5)))</formula>
    </cfRule>
    <cfRule type="containsText" dxfId="3" priority="20" operator="between" text="教材">
      <formula>NOT(ISERROR(SEARCH("教材",D5)))</formula>
    </cfRule>
  </conditionalFormatting>
  <conditionalFormatting sqref="D6:F6">
    <cfRule type="containsText" dxfId="0" priority="1" operator="between" text="!">
      <formula>NOT(ISERROR(SEARCH("!",D6)))</formula>
    </cfRule>
    <cfRule type="containsText" dxfId="1" priority="2" operator="between" text="未审核">
      <formula>NOT(ISERROR(SEARCH("未审核",D6)))</formula>
    </cfRule>
    <cfRule type="containsText" dxfId="2" priority="3" operator="between" text="预设班">
      <formula>NOT(ISERROR(SEARCH("预设班",D6)))</formula>
    </cfRule>
    <cfRule type="containsText" dxfId="3" priority="4" operator="between" text="教材">
      <formula>NOT(ISERROR(SEARCH("教材",D6)))</formula>
    </cfRule>
  </conditionalFormatting>
  <conditionalFormatting sqref="D8">
    <cfRule type="containsText" dxfId="0" priority="21" operator="between" text="!">
      <formula>NOT(ISERROR(SEARCH("!",D8)))</formula>
    </cfRule>
    <cfRule type="containsText" dxfId="1" priority="22" operator="between" text="未审核">
      <formula>NOT(ISERROR(SEARCH("未审核",D8)))</formula>
    </cfRule>
    <cfRule type="containsText" dxfId="2" priority="23" operator="between" text="预设班">
      <formula>NOT(ISERROR(SEARCH("预设班",D8)))</formula>
    </cfRule>
    <cfRule type="containsText" dxfId="3" priority="24" operator="between" text="教材">
      <formula>NOT(ISERROR(SEARCH("教材",D8)))</formula>
    </cfRule>
  </conditionalFormatting>
  <conditionalFormatting sqref="C4:C5">
    <cfRule type="containsText" dxfId="0" priority="41" operator="between" text="!">
      <formula>NOT(ISERROR(SEARCH("!",C4)))</formula>
    </cfRule>
    <cfRule type="containsText" dxfId="1" priority="42" operator="between" text="未审核">
      <formula>NOT(ISERROR(SEARCH("未审核",C4)))</formula>
    </cfRule>
    <cfRule type="containsText" dxfId="2" priority="43" operator="between" text="预设班">
      <formula>NOT(ISERROR(SEARCH("预设班",C4)))</formula>
    </cfRule>
    <cfRule type="containsText" dxfId="3" priority="44" operator="between" text="教材">
      <formula>NOT(ISERROR(SEARCH("教材",C4)))</formula>
    </cfRule>
  </conditionalFormatting>
  <conditionalFormatting sqref="G6:G7">
    <cfRule type="containsText" dxfId="0" priority="9" operator="between" text="!">
      <formula>NOT(ISERROR(SEARCH("!",G6)))</formula>
    </cfRule>
    <cfRule type="containsText" dxfId="1" priority="10" operator="between" text="未审核">
      <formula>NOT(ISERROR(SEARCH("未审核",G6)))</formula>
    </cfRule>
    <cfRule type="containsText" dxfId="2" priority="11" operator="between" text="预设班">
      <formula>NOT(ISERROR(SEARCH("预设班",G6)))</formula>
    </cfRule>
    <cfRule type="containsText" dxfId="3" priority="12" operator="between" text="教材">
      <formula>NOT(ISERROR(SEARCH("教材",G6)))</formula>
    </cfRule>
  </conditionalFormatting>
  <conditionalFormatting sqref="H5:H6">
    <cfRule type="containsText" dxfId="0" priority="33" operator="between" text="!">
      <formula>NOT(ISERROR(SEARCH("!",H5)))</formula>
    </cfRule>
    <cfRule type="containsText" dxfId="1" priority="34" operator="between" text="未审核">
      <formula>NOT(ISERROR(SEARCH("未审核",H5)))</formula>
    </cfRule>
    <cfRule type="containsText" dxfId="2" priority="35" operator="between" text="预设班">
      <formula>NOT(ISERROR(SEARCH("预设班",H5)))</formula>
    </cfRule>
    <cfRule type="containsText" dxfId="3" priority="36" operator="between" text="教材">
      <formula>NOT(ISERROR(SEARCH("教材",H5)))</formula>
    </cfRule>
  </conditionalFormatting>
  <conditionalFormatting sqref="C7:C8 H8">
    <cfRule type="containsText" dxfId="0" priority="29" operator="between" text="!">
      <formula>NOT(ISERROR(SEARCH("!",C7)))</formula>
    </cfRule>
    <cfRule type="containsText" dxfId="1" priority="30" operator="between" text="未审核">
      <formula>NOT(ISERROR(SEARCH("未审核",C7)))</formula>
    </cfRule>
    <cfRule type="containsText" dxfId="2" priority="31" operator="between" text="预设班">
      <formula>NOT(ISERROR(SEARCH("预设班",C7)))</formula>
    </cfRule>
    <cfRule type="containsText" dxfId="3" priority="32" operator="between" text="教材">
      <formula>NOT(ISERROR(SEARCH("教材",C7)))</formula>
    </cfRule>
  </conditionalFormatting>
  <pageMargins left="0.7" right="0.7" top="0.75" bottom="0.75" header="0.3" footer="0.3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zoomScale="75" zoomScaleNormal="75" workbookViewId="0">
      <selection activeCell="K13" sqref="K13:R13"/>
    </sheetView>
  </sheetViews>
  <sheetFormatPr defaultColWidth="9" defaultRowHeight="14"/>
  <cols>
    <col min="1" max="1" width="6.5" style="228" customWidth="1"/>
    <col min="2" max="2" width="9.01818181818182" style="228" customWidth="1"/>
    <col min="3" max="3" width="8.62727272727273" customWidth="1"/>
    <col min="4" max="4" width="13.8727272727273" customWidth="1"/>
    <col min="5" max="6" width="13.2545454545455" customWidth="1"/>
    <col min="7" max="7" width="13.8727272727273" customWidth="1"/>
    <col min="8" max="8" width="13.1272727272727" customWidth="1"/>
    <col min="10" max="10" width="12.8727272727273" customWidth="1"/>
    <col min="12" max="13" width="12.7545454545455" customWidth="1"/>
    <col min="14" max="14" width="12.2545454545455" customWidth="1"/>
  </cols>
  <sheetData>
    <row r="1" ht="30.6" customHeight="1" spans="1:12">
      <c r="A1" s="197" t="s">
        <v>374</v>
      </c>
      <c r="B1" s="197"/>
      <c r="C1" s="197"/>
      <c r="D1" s="197"/>
      <c r="E1" s="197"/>
      <c r="F1" s="197"/>
      <c r="G1" s="229" t="str">
        <f>_xlfn.DISPIMG("ID_DB4583B9BA054F9A9522B5EEBD13BD06",1)</f>
        <v>=DISPIMG("ID_DB4583B9BA054F9A9522B5EEBD13BD06",1)</v>
      </c>
      <c r="K1" s="230"/>
    </row>
    <row r="2" ht="33" customHeight="1" spans="1:12">
      <c r="A2" s="231" t="s">
        <v>375</v>
      </c>
      <c r="B2" s="231"/>
      <c r="C2" s="231"/>
      <c r="D2" s="231"/>
      <c r="E2" s="231"/>
      <c r="F2" s="231"/>
      <c r="G2" s="232"/>
      <c r="I2" s="233"/>
      <c r="K2" s="230"/>
    </row>
    <row r="3" ht="16.5" spans="1:12">
      <c r="A3" s="199" t="s">
        <v>53</v>
      </c>
      <c r="B3" s="199" t="s">
        <v>3</v>
      </c>
      <c r="C3" s="200" t="s">
        <v>54</v>
      </c>
      <c r="D3" s="201" t="s">
        <v>6</v>
      </c>
      <c r="E3" s="201" t="s">
        <v>7</v>
      </c>
      <c r="F3" s="234" t="s">
        <v>242</v>
      </c>
      <c r="G3" s="235" t="s">
        <v>243</v>
      </c>
    </row>
    <row r="4" ht="43.5" spans="1:12">
      <c r="A4" s="236"/>
      <c r="B4" s="237" t="s">
        <v>376</v>
      </c>
      <c r="C4" s="238" t="s">
        <v>377</v>
      </c>
      <c r="D4" s="18"/>
      <c r="E4" s="38" t="s">
        <v>378</v>
      </c>
      <c r="F4" s="38" t="s">
        <v>379</v>
      </c>
      <c r="G4" s="38" t="s">
        <v>380</v>
      </c>
      <c r="J4" s="239"/>
    </row>
    <row r="5" ht="43.5" spans="1:12">
      <c r="A5" s="236"/>
      <c r="B5" s="240"/>
      <c r="C5" s="241"/>
      <c r="D5" s="18"/>
      <c r="E5" s="242" t="s">
        <v>381</v>
      </c>
      <c r="F5" s="38" t="s">
        <v>382</v>
      </c>
      <c r="G5" s="38" t="s">
        <v>383</v>
      </c>
    </row>
    <row r="6" ht="43.5" spans="1:12">
      <c r="A6" s="236"/>
      <c r="B6" s="240"/>
      <c r="C6" s="241"/>
      <c r="D6" s="243" t="s">
        <v>384</v>
      </c>
      <c r="E6" s="67" t="s">
        <v>385</v>
      </c>
      <c r="F6" s="17" t="s">
        <v>386</v>
      </c>
      <c r="G6" s="17" t="s">
        <v>387</v>
      </c>
    </row>
    <row r="7" ht="58" spans="1:12">
      <c r="A7" s="236"/>
      <c r="B7" s="237" t="s">
        <v>388</v>
      </c>
      <c r="C7" s="244" t="s">
        <v>389</v>
      </c>
      <c r="D7" s="245" t="s">
        <v>390</v>
      </c>
      <c r="E7" s="246" t="s">
        <v>391</v>
      </c>
      <c r="F7" s="38" t="s">
        <v>392</v>
      </c>
      <c r="G7" s="188" t="s">
        <v>393</v>
      </c>
      <c r="I7" t="s">
        <v>394</v>
      </c>
      <c r="K7" s="230"/>
      <c r="L7" t="s">
        <v>395</v>
      </c>
    </row>
    <row r="8" ht="58" customHeight="1" spans="1:12">
      <c r="A8" s="236"/>
      <c r="B8" s="240"/>
      <c r="C8" s="247"/>
      <c r="D8" s="248"/>
      <c r="E8" s="249" t="s">
        <v>396</v>
      </c>
      <c r="F8" s="219" t="s">
        <v>397</v>
      </c>
      <c r="G8" s="215"/>
    </row>
    <row r="9" ht="58" spans="1:12">
      <c r="A9" s="236"/>
      <c r="B9" s="250" t="s">
        <v>398</v>
      </c>
      <c r="C9" s="238" t="s">
        <v>399</v>
      </c>
      <c r="D9" s="219" t="s">
        <v>400</v>
      </c>
      <c r="E9" s="251" t="s">
        <v>401</v>
      </c>
      <c r="F9" s="252" t="s">
        <v>402</v>
      </c>
      <c r="G9" s="224" t="s">
        <v>403</v>
      </c>
    </row>
    <row r="10" ht="43.5" spans="1:12">
      <c r="A10" s="236"/>
      <c r="B10" s="253"/>
      <c r="C10" s="234"/>
      <c r="D10" s="188" t="s">
        <v>404</v>
      </c>
      <c r="E10" s="65" t="s">
        <v>405</v>
      </c>
      <c r="F10" s="254" t="s">
        <v>406</v>
      </c>
      <c r="G10" s="255"/>
    </row>
    <row r="11" ht="58" spans="1:12">
      <c r="A11" s="236"/>
      <c r="B11" s="256"/>
      <c r="C11" s="257"/>
      <c r="D11" s="215"/>
      <c r="E11" s="67"/>
      <c r="F11" s="258" t="s">
        <v>407</v>
      </c>
      <c r="G11" s="188" t="s">
        <v>408</v>
      </c>
    </row>
    <row r="12" ht="16.5" spans="1:12">
      <c r="A12" s="236"/>
      <c r="B12" s="259" t="s">
        <v>409</v>
      </c>
      <c r="C12" s="234" t="s">
        <v>410</v>
      </c>
      <c r="D12" s="188"/>
      <c r="E12" s="260" t="s">
        <v>411</v>
      </c>
      <c r="F12" s="65" t="s">
        <v>412</v>
      </c>
      <c r="G12" s="188"/>
    </row>
    <row r="13" ht="60" customHeight="1" spans="1:12">
      <c r="A13" s="236"/>
      <c r="B13" s="261"/>
      <c r="C13" s="257"/>
      <c r="D13" s="252" t="s">
        <v>413</v>
      </c>
      <c r="E13" s="260"/>
      <c r="F13" s="214"/>
      <c r="G13" s="215"/>
    </row>
    <row r="14" ht="16.5" spans="1:12">
      <c r="A14" s="236"/>
      <c r="B14" s="199" t="s">
        <v>3</v>
      </c>
      <c r="C14" s="262" t="s">
        <v>54</v>
      </c>
      <c r="D14" s="263" t="s">
        <v>6</v>
      </c>
      <c r="E14" s="263" t="s">
        <v>7</v>
      </c>
      <c r="F14" s="263" t="s">
        <v>242</v>
      </c>
      <c r="G14" s="264" t="s">
        <v>243</v>
      </c>
    </row>
    <row r="15" ht="58" spans="1:12">
      <c r="A15" s="265"/>
      <c r="B15" s="202" t="s">
        <v>23</v>
      </c>
      <c r="C15" s="203" t="s">
        <v>414</v>
      </c>
      <c r="D15" s="18" t="s">
        <v>415</v>
      </c>
      <c r="E15" s="65" t="s">
        <v>416</v>
      </c>
      <c r="F15" s="38" t="s">
        <v>417</v>
      </c>
      <c r="G15" s="38" t="s">
        <v>418</v>
      </c>
    </row>
    <row r="16" ht="58" spans="1:12">
      <c r="A16" s="265"/>
      <c r="B16" s="202"/>
      <c r="C16" s="203"/>
      <c r="D16" s="18" t="s">
        <v>419</v>
      </c>
      <c r="E16" s="214" t="s">
        <v>420</v>
      </c>
      <c r="F16" s="207" t="s">
        <v>421</v>
      </c>
      <c r="G16" s="18" t="s">
        <v>422</v>
      </c>
      <c r="H16" t="s">
        <v>395</v>
      </c>
    </row>
    <row r="17" ht="58" spans="1:7">
      <c r="A17" s="265"/>
      <c r="B17" s="202"/>
      <c r="C17" s="203"/>
      <c r="D17" s="18"/>
      <c r="E17" s="64"/>
      <c r="F17" s="64"/>
      <c r="G17" s="266" t="s">
        <v>423</v>
      </c>
    </row>
    <row r="18" ht="58" spans="1:7">
      <c r="A18" s="265"/>
      <c r="B18" s="202"/>
      <c r="C18" s="203" t="s">
        <v>424</v>
      </c>
      <c r="D18" s="28" t="s">
        <v>425</v>
      </c>
      <c r="E18" s="267" t="s">
        <v>426</v>
      </c>
      <c r="F18" s="18" t="s">
        <v>427</v>
      </c>
      <c r="G18" s="219" t="s">
        <v>428</v>
      </c>
    </row>
    <row r="19" ht="63" customHeight="1" spans="1:7">
      <c r="A19" s="265"/>
      <c r="B19" s="202"/>
      <c r="C19" s="203"/>
      <c r="D19" s="28" t="s">
        <v>429</v>
      </c>
      <c r="E19" s="268" t="s">
        <v>430</v>
      </c>
      <c r="F19" s="219" t="s">
        <v>431</v>
      </c>
      <c r="G19" s="18"/>
    </row>
    <row r="20" ht="58" spans="1:7">
      <c r="A20" s="269"/>
      <c r="B20" s="202"/>
      <c r="C20" s="203"/>
      <c r="D20" s="28" t="s">
        <v>432</v>
      </c>
      <c r="E20" s="18"/>
      <c r="F20" s="18" t="s">
        <v>433</v>
      </c>
      <c r="G20" s="18" t="s">
        <v>434</v>
      </c>
    </row>
    <row r="21" ht="29" hidden="1" spans="1:7">
      <c r="G21" s="18" t="s">
        <v>435</v>
      </c>
    </row>
  </sheetData>
  <mergeCells count="22">
    <mergeCell ref="A1:F1"/>
    <mergeCell ref="A2:F2"/>
    <mergeCell ref="B4:B6"/>
    <mergeCell ref="B7:B8"/>
    <mergeCell ref="B9:B11"/>
    <mergeCell ref="B12:B13"/>
    <mergeCell ref="B15:B20"/>
    <mergeCell ref="C4:C6"/>
    <mergeCell ref="C7:C8"/>
    <mergeCell ref="C9:C11"/>
    <mergeCell ref="C12:C13"/>
    <mergeCell ref="C15:C17"/>
    <mergeCell ref="C18:C20"/>
    <mergeCell ref="D7:D8"/>
    <mergeCell ref="D10:D11"/>
    <mergeCell ref="E10:E11"/>
    <mergeCell ref="E12:E13"/>
    <mergeCell ref="F12:F13"/>
    <mergeCell ref="G1:G2"/>
    <mergeCell ref="G7:G8"/>
    <mergeCell ref="G9:G10"/>
    <mergeCell ref="G12:G13"/>
  </mergeCells>
  <conditionalFormatting sqref="D3:G3">
    <cfRule type="containsText" dxfId="0" priority="37" operator="between" text="!">
      <formula>NOT(ISERROR(SEARCH("!",D3)))</formula>
    </cfRule>
    <cfRule type="containsText" dxfId="1" priority="38" operator="between" text="未审核">
      <formula>NOT(ISERROR(SEARCH("未审核",D3)))</formula>
    </cfRule>
    <cfRule type="containsText" dxfId="2" priority="39" operator="between" text="预设班">
      <formula>NOT(ISERROR(SEARCH("预设班",D3)))</formula>
    </cfRule>
    <cfRule type="containsText" dxfId="3" priority="40" operator="between" text="教材">
      <formula>NOT(ISERROR(SEARCH("教材",D3)))</formula>
    </cfRule>
  </conditionalFormatting>
  <conditionalFormatting sqref="F8">
    <cfRule type="containsText" dxfId="0" priority="17" operator="between" text="!">
      <formula>NOT(ISERROR(SEARCH("!",F8)))</formula>
    </cfRule>
    <cfRule type="containsText" dxfId="4" priority="18" operator="between" text="未审核">
      <formula>NOT(ISERROR(SEARCH("未审核",F8)))</formula>
    </cfRule>
    <cfRule type="containsText" dxfId="5" priority="19" operator="between" text="预设班">
      <formula>NOT(ISERROR(SEARCH("预设班",F8)))</formula>
    </cfRule>
    <cfRule type="containsText" dxfId="3" priority="20" operator="between" text="教材">
      <formula>NOT(ISERROR(SEARCH("教材",F8)))</formula>
    </cfRule>
  </conditionalFormatting>
  <conditionalFormatting sqref="D14:G14">
    <cfRule type="containsText" dxfId="0" priority="21" operator="between" text="!">
      <formula>NOT(ISERROR(SEARCH("!",D14)))</formula>
    </cfRule>
    <cfRule type="containsText" dxfId="1" priority="22" operator="between" text="未审核">
      <formula>NOT(ISERROR(SEARCH("未审核",D14)))</formula>
    </cfRule>
    <cfRule type="containsText" dxfId="2" priority="23" operator="between" text="预设班">
      <formula>NOT(ISERROR(SEARCH("预设班",D14)))</formula>
    </cfRule>
    <cfRule type="containsText" dxfId="3" priority="24" operator="between" text="教材">
      <formula>NOT(ISERROR(SEARCH("教材",D14)))</formula>
    </cfRule>
  </conditionalFormatting>
  <conditionalFormatting sqref="D15">
    <cfRule type="containsText" dxfId="0" priority="9" operator="between" text="!">
      <formula>NOT(ISERROR(SEARCH("!",D15)))</formula>
    </cfRule>
    <cfRule type="containsText" dxfId="4" priority="10" operator="between" text="未审核">
      <formula>NOT(ISERROR(SEARCH("未审核",D15)))</formula>
    </cfRule>
    <cfRule type="containsText" dxfId="5" priority="11" operator="between" text="预设班">
      <formula>NOT(ISERROR(SEARCH("预设班",D15)))</formula>
    </cfRule>
    <cfRule type="containsText" dxfId="3" priority="12" operator="between" text="教材">
      <formula>NOT(ISERROR(SEARCH("教材",D15)))</formula>
    </cfRule>
  </conditionalFormatting>
  <conditionalFormatting sqref="C4 C7">
    <cfRule type="containsText" dxfId="0" priority="41" operator="between" text="!">
      <formula>NOT(ISERROR(SEARCH("!",C4)))</formula>
    </cfRule>
    <cfRule type="containsText" dxfId="1" priority="42" operator="between" text="未审核">
      <formula>NOT(ISERROR(SEARCH("未审核",C4)))</formula>
    </cfRule>
    <cfRule type="containsText" dxfId="2" priority="43" operator="between" text="预设班">
      <formula>NOT(ISERROR(SEARCH("预设班",C4)))</formula>
    </cfRule>
    <cfRule type="containsText" dxfId="3" priority="44" operator="between" text="教材">
      <formula>NOT(ISERROR(SEARCH("教材",C4)))</formula>
    </cfRule>
  </conditionalFormatting>
  <conditionalFormatting sqref="C15:C16 C18">
    <cfRule type="containsText" dxfId="0" priority="29" operator="between" text="!">
      <formula>NOT(ISERROR(SEARCH("!",C15)))</formula>
    </cfRule>
    <cfRule type="containsText" dxfId="1" priority="30" operator="between" text="未审核">
      <formula>NOT(ISERROR(SEARCH("未审核",C15)))</formula>
    </cfRule>
    <cfRule type="containsText" dxfId="2" priority="31" operator="between" text="预设班">
      <formula>NOT(ISERROR(SEARCH("预设班",C15)))</formula>
    </cfRule>
    <cfRule type="containsText" dxfId="3" priority="32" operator="between" text="教材">
      <formula>NOT(ISERROR(SEARCH("教材",C15)))</formula>
    </cfRule>
  </conditionalFormatting>
  <pageMargins left="0.7" right="0.7" top="0.75" bottom="0.75" header="0.3" footer="0.3"/>
  <pageSetup paperSize="1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K13" sqref="K13:R13"/>
    </sheetView>
  </sheetViews>
  <sheetFormatPr defaultColWidth="9" defaultRowHeight="14" outlineLevelCol="7"/>
  <cols>
    <col min="4" max="4" width="13.2545454545455" customWidth="1"/>
    <col min="5" max="5" width="14.7545454545455" customWidth="1"/>
    <col min="6" max="6" width="13.3727272727273" customWidth="1"/>
    <col min="7" max="7" width="13.8727272727273" customWidth="1"/>
    <col min="8" max="8" width="15.6272727272727" customWidth="1"/>
  </cols>
  <sheetData>
    <row r="1" ht="14.5" spans="1:8">
      <c r="A1" s="227" t="s">
        <v>53</v>
      </c>
      <c r="B1" s="227" t="s">
        <v>3</v>
      </c>
      <c r="C1" s="227" t="s">
        <v>5</v>
      </c>
      <c r="D1" s="227" t="s">
        <v>6</v>
      </c>
      <c r="E1" s="227" t="s">
        <v>7</v>
      </c>
      <c r="F1" s="227" t="s">
        <v>242</v>
      </c>
      <c r="G1" s="227" t="s">
        <v>243</v>
      </c>
      <c r="H1" s="227" t="s">
        <v>10</v>
      </c>
    </row>
    <row r="2" ht="29" spans="1:8">
      <c r="A2" s="168" t="s">
        <v>66</v>
      </c>
      <c r="B2" s="168" t="s">
        <v>436</v>
      </c>
      <c r="C2" s="168" t="s">
        <v>437</v>
      </c>
      <c r="D2" s="166" t="s">
        <v>438</v>
      </c>
      <c r="E2" s="166" t="s">
        <v>439</v>
      </c>
      <c r="F2" s="166" t="s">
        <v>440</v>
      </c>
      <c r="G2" s="166" t="s">
        <v>441</v>
      </c>
      <c r="H2" s="167"/>
    </row>
    <row r="3" ht="43.5" customHeight="1" spans="1:8">
      <c r="A3" s="171"/>
      <c r="B3" s="171"/>
      <c r="C3" s="171"/>
      <c r="D3" s="166" t="s">
        <v>442</v>
      </c>
      <c r="E3" s="166" t="s">
        <v>443</v>
      </c>
      <c r="F3" s="167"/>
      <c r="G3" s="167"/>
      <c r="H3" s="167"/>
    </row>
    <row r="4" ht="57.95" customHeight="1" spans="1:8">
      <c r="A4" s="171"/>
      <c r="B4" s="182"/>
      <c r="C4" s="182"/>
      <c r="D4" s="167"/>
      <c r="E4" s="166" t="s">
        <v>444</v>
      </c>
      <c r="F4" s="167"/>
      <c r="G4" s="167"/>
      <c r="H4" s="167"/>
    </row>
    <row r="5" ht="57.95" customHeight="1" spans="1:8">
      <c r="A5" s="171"/>
      <c r="B5" s="168" t="s">
        <v>445</v>
      </c>
      <c r="C5" s="168" t="s">
        <v>437</v>
      </c>
      <c r="D5" s="167"/>
      <c r="E5" s="166" t="s">
        <v>446</v>
      </c>
      <c r="F5" s="166" t="s">
        <v>447</v>
      </c>
      <c r="G5" s="166" t="s">
        <v>448</v>
      </c>
      <c r="H5" s="167"/>
    </row>
    <row r="6" ht="29" spans="1:8">
      <c r="A6" s="171"/>
      <c r="B6" s="171"/>
      <c r="C6" s="182"/>
      <c r="D6" s="167"/>
      <c r="E6" s="167"/>
      <c r="F6" s="166" t="s">
        <v>449</v>
      </c>
      <c r="G6" s="166" t="s">
        <v>450</v>
      </c>
      <c r="H6" s="167"/>
    </row>
    <row r="7" ht="57.95" customHeight="1" spans="1:8">
      <c r="A7" s="171"/>
      <c r="B7" s="182"/>
      <c r="C7" s="166" t="s">
        <v>451</v>
      </c>
      <c r="D7" s="167"/>
      <c r="E7" s="167"/>
      <c r="F7" s="166" t="s">
        <v>452</v>
      </c>
      <c r="G7" s="167"/>
      <c r="H7" s="167"/>
    </row>
    <row r="8" ht="29" spans="1:8">
      <c r="A8" s="171"/>
      <c r="B8" s="168" t="s">
        <v>453</v>
      </c>
      <c r="C8" s="168" t="s">
        <v>437</v>
      </c>
      <c r="D8" s="166" t="s">
        <v>454</v>
      </c>
      <c r="E8" s="166" t="s">
        <v>455</v>
      </c>
      <c r="F8" s="166" t="s">
        <v>456</v>
      </c>
      <c r="G8" s="166" t="s">
        <v>457</v>
      </c>
      <c r="H8" s="167"/>
    </row>
    <row r="9" ht="43.5" customHeight="1" spans="1:8">
      <c r="A9" s="171"/>
      <c r="B9" s="171"/>
      <c r="C9" s="171"/>
      <c r="D9" s="166" t="s">
        <v>458</v>
      </c>
      <c r="E9" s="166" t="s">
        <v>459</v>
      </c>
      <c r="F9" s="167"/>
      <c r="G9" s="167"/>
      <c r="H9" s="167"/>
    </row>
    <row r="10" ht="43.5" customHeight="1" spans="1:8">
      <c r="A10" s="171"/>
      <c r="B10" s="182"/>
      <c r="C10" s="182"/>
      <c r="D10" s="167"/>
      <c r="E10" s="166" t="s">
        <v>460</v>
      </c>
      <c r="F10" s="167"/>
      <c r="G10" s="167"/>
      <c r="H10" s="167"/>
    </row>
    <row r="11" ht="57.95" customHeight="1" spans="1:8">
      <c r="A11" s="171"/>
      <c r="B11" s="168" t="s">
        <v>461</v>
      </c>
      <c r="C11" s="168" t="s">
        <v>437</v>
      </c>
      <c r="D11" s="167"/>
      <c r="E11" s="166" t="s">
        <v>462</v>
      </c>
      <c r="F11" s="166" t="s">
        <v>463</v>
      </c>
      <c r="G11" s="166" t="s">
        <v>464</v>
      </c>
      <c r="H11" s="167"/>
    </row>
    <row r="12" ht="43.5" customHeight="1" spans="1:8">
      <c r="A12" s="171"/>
      <c r="B12" s="171"/>
      <c r="C12" s="182"/>
      <c r="D12" s="167"/>
      <c r="E12" s="166" t="s">
        <v>465</v>
      </c>
      <c r="F12" s="167"/>
      <c r="G12" s="166" t="s">
        <v>466</v>
      </c>
      <c r="H12" s="167"/>
    </row>
    <row r="13" ht="57.95" customHeight="1" spans="1:8">
      <c r="A13" s="182"/>
      <c r="B13" s="182"/>
      <c r="C13" s="166" t="s">
        <v>451</v>
      </c>
      <c r="D13" s="167"/>
      <c r="E13" s="167"/>
      <c r="F13" s="166" t="s">
        <v>467</v>
      </c>
      <c r="G13" s="167"/>
      <c r="H13" s="167"/>
    </row>
  </sheetData>
  <mergeCells count="9">
    <mergeCell ref="A2:A13"/>
    <mergeCell ref="B2:B4"/>
    <mergeCell ref="B5:B7"/>
    <mergeCell ref="B8:B10"/>
    <mergeCell ref="B11:B13"/>
    <mergeCell ref="C2:C4"/>
    <mergeCell ref="C5:C6"/>
    <mergeCell ref="C8:C10"/>
    <mergeCell ref="C11:C12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"/>
  <sheetViews>
    <sheetView zoomScale="69" zoomScaleNormal="69" workbookViewId="0">
      <selection activeCell="K13" sqref="K13:R13"/>
    </sheetView>
  </sheetViews>
  <sheetFormatPr defaultColWidth="9" defaultRowHeight="14"/>
  <cols>
    <col min="1" max="1" width="6.87272727272727" customWidth="1"/>
    <col min="2" max="2" width="9" customWidth="1"/>
    <col min="3" max="3" width="9.12727272727273" customWidth="1"/>
    <col min="4" max="4" width="12.8727272727273" customWidth="1"/>
    <col min="5" max="5" width="13.1272727272727" customWidth="1"/>
    <col min="6" max="6" width="13.2545454545455" customWidth="1"/>
    <col min="7" max="7" width="13.7545454545455" customWidth="1"/>
    <col min="8" max="8" width="13.7363636363636" customWidth="1"/>
  </cols>
  <sheetData>
    <row r="1" ht="36.6" customHeight="1" spans="1:13">
      <c r="A1" s="70" t="s">
        <v>468</v>
      </c>
      <c r="B1" s="70"/>
      <c r="C1" s="70"/>
      <c r="D1" s="70"/>
      <c r="E1" s="70"/>
      <c r="F1" s="70"/>
      <c r="G1" s="71" t="s">
        <v>1</v>
      </c>
      <c r="H1" s="72" t="str">
        <f>_xlfn.DISPIMG("ID_7A9592065B254F2FB334F4FDFD5A87F0",1)</f>
        <v>=DISPIMG("ID_7A9592065B254F2FB334F4FDFD5A87F0",1)</v>
      </c>
    </row>
    <row r="2" ht="35.45" customHeight="1" spans="1:13">
      <c r="A2" s="184"/>
      <c r="B2" s="184"/>
      <c r="C2" s="184"/>
      <c r="D2" s="184"/>
      <c r="E2" s="184"/>
      <c r="F2" s="184"/>
      <c r="G2" s="185"/>
      <c r="H2" s="72"/>
    </row>
    <row r="3" ht="15.95" customHeight="1" spans="1:13">
      <c r="A3" s="73" t="s">
        <v>395</v>
      </c>
      <c r="B3" s="73" t="s">
        <v>3</v>
      </c>
      <c r="C3" s="73" t="s">
        <v>5</v>
      </c>
      <c r="D3" s="73" t="s">
        <v>6</v>
      </c>
      <c r="E3" s="73" t="s">
        <v>7</v>
      </c>
      <c r="F3" s="73" t="s">
        <v>242</v>
      </c>
      <c r="G3" s="73" t="s">
        <v>243</v>
      </c>
      <c r="H3" s="74" t="s">
        <v>469</v>
      </c>
    </row>
    <row r="4" ht="58" spans="1:13">
      <c r="A4" s="74" t="s">
        <v>55</v>
      </c>
      <c r="B4" s="75" t="s">
        <v>470</v>
      </c>
      <c r="C4" s="75" t="s">
        <v>471</v>
      </c>
      <c r="D4" s="196" t="s">
        <v>472</v>
      </c>
      <c r="E4" s="206" t="s">
        <v>473</v>
      </c>
      <c r="F4" s="69" t="s">
        <v>474</v>
      </c>
      <c r="G4" s="213"/>
      <c r="H4" s="76"/>
    </row>
    <row r="5" ht="58" spans="1:13">
      <c r="A5" s="78"/>
      <c r="B5" s="79"/>
      <c r="C5" s="79"/>
      <c r="D5" s="18" t="s">
        <v>475</v>
      </c>
      <c r="E5" s="18" t="s">
        <v>476</v>
      </c>
      <c r="F5" s="18" t="s">
        <v>477</v>
      </c>
      <c r="G5" s="213" t="s">
        <v>478</v>
      </c>
      <c r="H5" s="76"/>
    </row>
    <row r="6" ht="51" customHeight="1" spans="1:13">
      <c r="A6" s="78"/>
      <c r="B6" s="74" t="s">
        <v>479</v>
      </c>
      <c r="C6" s="74" t="s">
        <v>480</v>
      </c>
      <c r="D6" s="65" t="s">
        <v>481</v>
      </c>
      <c r="E6" s="20" t="s">
        <v>482</v>
      </c>
      <c r="F6" s="20" t="s">
        <v>483</v>
      </c>
      <c r="G6" s="69" t="s">
        <v>484</v>
      </c>
      <c r="H6" s="76"/>
    </row>
    <row r="7" ht="51" customHeight="1" spans="1:13">
      <c r="A7" s="78"/>
      <c r="B7" s="78"/>
      <c r="C7" s="78"/>
      <c r="D7" s="214"/>
      <c r="E7" s="188" t="s">
        <v>485</v>
      </c>
      <c r="F7" s="18" t="s">
        <v>486</v>
      </c>
      <c r="G7" s="18" t="s">
        <v>487</v>
      </c>
      <c r="H7" s="76"/>
    </row>
    <row r="8" ht="58" spans="1:13">
      <c r="A8" s="83"/>
      <c r="B8" s="78"/>
      <c r="C8" s="83"/>
      <c r="D8" s="67"/>
      <c r="E8" s="215"/>
      <c r="F8" s="216" t="s">
        <v>488</v>
      </c>
      <c r="G8" s="217" t="s">
        <v>489</v>
      </c>
      <c r="H8" s="76"/>
    </row>
    <row r="9" ht="14.5" spans="1:13">
      <c r="A9" s="74" t="s">
        <v>55</v>
      </c>
      <c r="B9" s="75" t="s">
        <v>3</v>
      </c>
      <c r="C9" s="83" t="s">
        <v>5</v>
      </c>
      <c r="D9" s="83" t="s">
        <v>6</v>
      </c>
      <c r="E9" s="83" t="s">
        <v>7</v>
      </c>
      <c r="F9" s="83" t="s">
        <v>242</v>
      </c>
      <c r="G9" s="83" t="s">
        <v>243</v>
      </c>
      <c r="H9" s="83" t="s">
        <v>469</v>
      </c>
      <c r="M9">
        <v>6091.2</v>
      </c>
    </row>
    <row r="10" ht="43.5" spans="1:13">
      <c r="A10" s="78"/>
      <c r="B10" s="85" t="s">
        <v>23</v>
      </c>
      <c r="C10" s="74" t="s">
        <v>490</v>
      </c>
      <c r="D10" s="38" t="s">
        <v>491</v>
      </c>
      <c r="E10" s="196" t="s">
        <v>492</v>
      </c>
      <c r="F10" s="218" t="s">
        <v>493</v>
      </c>
      <c r="G10" s="28" t="s">
        <v>494</v>
      </c>
      <c r="H10" s="38" t="s">
        <v>495</v>
      </c>
    </row>
    <row r="11" ht="43.5" spans="1:13">
      <c r="A11" s="78"/>
      <c r="B11" s="75"/>
      <c r="C11" s="83"/>
      <c r="D11" s="206" t="s">
        <v>496</v>
      </c>
      <c r="E11" s="219" t="s">
        <v>497</v>
      </c>
      <c r="F11" s="220"/>
      <c r="G11" s="76"/>
      <c r="H11" s="76"/>
    </row>
    <row r="12" ht="43.5" spans="1:13">
      <c r="A12" s="78"/>
      <c r="B12" s="75"/>
      <c r="C12" s="75" t="s">
        <v>498</v>
      </c>
      <c r="D12" s="221" t="s">
        <v>499</v>
      </c>
      <c r="E12" s="219" t="s">
        <v>500</v>
      </c>
      <c r="F12" s="219" t="s">
        <v>501</v>
      </c>
      <c r="G12" s="222"/>
      <c r="H12" s="76"/>
      <c r="J12" t="s">
        <v>395</v>
      </c>
    </row>
    <row r="13" ht="43.5" spans="1:13">
      <c r="A13" s="78"/>
      <c r="B13" s="75"/>
      <c r="C13" s="75"/>
      <c r="D13" s="223" t="s">
        <v>502</v>
      </c>
      <c r="E13" s="206" t="s">
        <v>503</v>
      </c>
      <c r="F13" s="224" t="s">
        <v>504</v>
      </c>
      <c r="G13" s="221" t="s">
        <v>505</v>
      </c>
      <c r="H13" s="76"/>
    </row>
    <row r="14" ht="29" spans="1:13">
      <c r="A14" s="83"/>
      <c r="B14" s="75"/>
      <c r="C14" s="75"/>
      <c r="D14" s="225"/>
      <c r="E14" s="219" t="s">
        <v>506</v>
      </c>
      <c r="F14" s="226"/>
      <c r="G14" s="76"/>
      <c r="H14" s="76"/>
    </row>
  </sheetData>
  <mergeCells count="18">
    <mergeCell ref="A1:F1"/>
    <mergeCell ref="A2:F2"/>
    <mergeCell ref="A4:A8"/>
    <mergeCell ref="A9:A14"/>
    <mergeCell ref="B4:B5"/>
    <mergeCell ref="B6:B8"/>
    <mergeCell ref="B10:B14"/>
    <mergeCell ref="C4:C5"/>
    <mergeCell ref="C6:C8"/>
    <mergeCell ref="C10:C11"/>
    <mergeCell ref="C12:C14"/>
    <mergeCell ref="D6:D8"/>
    <mergeCell ref="D13:D14"/>
    <mergeCell ref="E7:E8"/>
    <mergeCell ref="F10:F11"/>
    <mergeCell ref="F13:F14"/>
    <mergeCell ref="G1:G2"/>
    <mergeCell ref="H1:H2"/>
  </mergeCells>
  <conditionalFormatting sqref="D6">
    <cfRule type="containsText" dxfId="0" priority="33" operator="between" text="!">
      <formula>NOT(ISERROR(SEARCH("!",D6)))</formula>
    </cfRule>
    <cfRule type="containsText" dxfId="4" priority="34" operator="between" text="未审核">
      <formula>NOT(ISERROR(SEARCH("未审核",D6)))</formula>
    </cfRule>
    <cfRule type="containsText" dxfId="5" priority="35" operator="between" text="预设班">
      <formula>NOT(ISERROR(SEARCH("预设班",D6)))</formula>
    </cfRule>
    <cfRule type="containsText" dxfId="3" priority="36" operator="between" text="教材">
      <formula>NOT(ISERROR(SEARCH("教材",D6)))</formula>
    </cfRule>
  </conditionalFormatting>
  <conditionalFormatting sqref="F6">
    <cfRule type="containsText" dxfId="0" priority="13" operator="between" text="!">
      <formula>NOT(ISERROR(SEARCH("!",F6)))</formula>
    </cfRule>
    <cfRule type="containsText" dxfId="4" priority="14" operator="between" text="未审核">
      <formula>NOT(ISERROR(SEARCH("未审核",F6)))</formula>
    </cfRule>
    <cfRule type="containsText" dxfId="5" priority="15" operator="between" text="预设班">
      <formula>NOT(ISERROR(SEARCH("预设班",F6)))</formula>
    </cfRule>
    <cfRule type="containsText" dxfId="3" priority="16" operator="between" text="教材">
      <formula>NOT(ISERROR(SEARCH("教材",F6)))</formula>
    </cfRule>
  </conditionalFormatting>
  <conditionalFormatting sqref="G6">
    <cfRule type="containsText" dxfId="0" priority="9" operator="between" text="!">
      <formula>NOT(ISERROR(SEARCH("!",G6)))</formula>
    </cfRule>
    <cfRule type="containsText" dxfId="4" priority="10" operator="between" text="未审核">
      <formula>NOT(ISERROR(SEARCH("未审核",G6)))</formula>
    </cfRule>
    <cfRule type="containsText" dxfId="5" priority="11" operator="between" text="预设班">
      <formula>NOT(ISERROR(SEARCH("预设班",G6)))</formula>
    </cfRule>
    <cfRule type="containsText" dxfId="3" priority="12" operator="between" text="教材">
      <formula>NOT(ISERROR(SEARCH("教材",G6)))</formula>
    </cfRule>
  </conditionalFormatting>
  <conditionalFormatting sqref="F8">
    <cfRule type="containsText" dxfId="0" priority="53" operator="between" text="!">
      <formula>NOT(ISERROR(SEARCH("!",F8)))</formula>
    </cfRule>
    <cfRule type="containsText" dxfId="4" priority="54" operator="between" text="未审核">
      <formula>NOT(ISERROR(SEARCH("未审核",F8)))</formula>
    </cfRule>
    <cfRule type="containsText" dxfId="5" priority="55" operator="between" text="预设班">
      <formula>NOT(ISERROR(SEARCH("预设班",F8)))</formula>
    </cfRule>
    <cfRule type="containsText" dxfId="3" priority="56" operator="between" text="教材">
      <formula>NOT(ISERROR(SEARCH("教材",F8)))</formula>
    </cfRule>
  </conditionalFormatting>
  <conditionalFormatting sqref="E10">
    <cfRule type="containsText" dxfId="0" priority="57" operator="between" text="!">
      <formula>NOT(ISERROR(SEARCH("!",E10)))</formula>
    </cfRule>
    <cfRule type="containsText" dxfId="4" priority="58" operator="between" text="未审核">
      <formula>NOT(ISERROR(SEARCH("未审核",E10)))</formula>
    </cfRule>
    <cfRule type="containsText" dxfId="5" priority="59" operator="between" text="预设班">
      <formula>NOT(ISERROR(SEARCH("预设班",E10)))</formula>
    </cfRule>
    <cfRule type="containsText" dxfId="3" priority="60" operator="between" text="教材">
      <formula>NOT(ISERROR(SEARCH("教材",E10)))</formula>
    </cfRule>
  </conditionalFormatting>
  <conditionalFormatting sqref="G10">
    <cfRule type="containsText" dxfId="0" priority="1" operator="between" text="!">
      <formula>NOT(ISERROR(SEARCH("!",G10)))</formula>
    </cfRule>
    <cfRule type="containsText" dxfId="4" priority="2" operator="between" text="未审核">
      <formula>NOT(ISERROR(SEARCH("未审核",G10)))</formula>
    </cfRule>
    <cfRule type="containsText" dxfId="5" priority="3" operator="between" text="预设班">
      <formula>NOT(ISERROR(SEARCH("预设班",G10)))</formula>
    </cfRule>
    <cfRule type="containsText" dxfId="3" priority="4" operator="between" text="教材">
      <formula>NOT(ISERROR(SEARCH("教材",G10)))</formula>
    </cfRule>
  </conditionalFormatting>
  <conditionalFormatting sqref="H10">
    <cfRule type="containsText" dxfId="0" priority="101" operator="between" text="!">
      <formula>NOT(ISERROR(SEARCH("!",H10)))</formula>
    </cfRule>
    <cfRule type="containsText" dxfId="4" priority="102" operator="between" text="未审核">
      <formula>NOT(ISERROR(SEARCH("未审核",H10)))</formula>
    </cfRule>
    <cfRule type="containsText" dxfId="5" priority="103" operator="between" text="预设班">
      <formula>NOT(ISERROR(SEARCH("预设班",H10)))</formula>
    </cfRule>
    <cfRule type="containsText" dxfId="3" priority="104" operator="between" text="教材">
      <formula>NOT(ISERROR(SEARCH("教材",H10)))</formula>
    </cfRule>
  </conditionalFormatting>
  <conditionalFormatting sqref="D11">
    <cfRule type="containsText" dxfId="0" priority="97" operator="between" text="!">
      <formula>NOT(ISERROR(SEARCH("!",D11)))</formula>
    </cfRule>
    <cfRule type="containsText" dxfId="4" priority="98" operator="between" text="未审核">
      <formula>NOT(ISERROR(SEARCH("未审核",D11)))</formula>
    </cfRule>
    <cfRule type="containsText" dxfId="5" priority="99" operator="between" text="预设班">
      <formula>NOT(ISERROR(SEARCH("预设班",D11)))</formula>
    </cfRule>
    <cfRule type="containsText" dxfId="3" priority="100" operator="between" text="教材">
      <formula>NOT(ISERROR(SEARCH("教材",D11)))</formula>
    </cfRule>
  </conditionalFormatting>
  <conditionalFormatting sqref="D12">
    <cfRule type="containsText" dxfId="0" priority="93" operator="between" text="!">
      <formula>NOT(ISERROR(SEARCH("!",D12)))</formula>
    </cfRule>
    <cfRule type="containsText" dxfId="4" priority="94" operator="between" text="未审核">
      <formula>NOT(ISERROR(SEARCH("未审核",D12)))</formula>
    </cfRule>
    <cfRule type="containsText" dxfId="5" priority="95" operator="between" text="预设班">
      <formula>NOT(ISERROR(SEARCH("预设班",D12)))</formula>
    </cfRule>
    <cfRule type="containsText" dxfId="3" priority="96" operator="between" text="教材">
      <formula>NOT(ISERROR(SEARCH("教材",D12)))</formula>
    </cfRule>
  </conditionalFormatting>
  <conditionalFormatting sqref="D13">
    <cfRule type="containsText" dxfId="0" priority="85" operator="between" text="!">
      <formula>NOT(ISERROR(SEARCH("!",D13)))</formula>
    </cfRule>
    <cfRule type="containsText" dxfId="4" priority="86" operator="between" text="未审核">
      <formula>NOT(ISERROR(SEARCH("未审核",D13)))</formula>
    </cfRule>
    <cfRule type="containsText" dxfId="5" priority="87" operator="between" text="预设班">
      <formula>NOT(ISERROR(SEARCH("预设班",D13)))</formula>
    </cfRule>
    <cfRule type="containsText" dxfId="3" priority="88" operator="between" text="教材">
      <formula>NOT(ISERROR(SEARCH("教材",D13)))</formula>
    </cfRule>
  </conditionalFormatting>
  <conditionalFormatting sqref="E13">
    <cfRule type="containsText" dxfId="0" priority="61" operator="between" text="!">
      <formula>NOT(ISERROR(SEARCH("!",E13)))</formula>
    </cfRule>
    <cfRule type="containsText" dxfId="4" priority="62" operator="between" text="未审核">
      <formula>NOT(ISERROR(SEARCH("未审核",E13)))</formula>
    </cfRule>
    <cfRule type="containsText" dxfId="5" priority="63" operator="between" text="预设班">
      <formula>NOT(ISERROR(SEARCH("预设班",E13)))</formula>
    </cfRule>
    <cfRule type="containsText" dxfId="3" priority="64" operator="between" text="教材">
      <formula>NOT(ISERROR(SEARCH("教材",E13)))</formula>
    </cfRule>
  </conditionalFormatting>
  <conditionalFormatting sqref="F13">
    <cfRule type="containsText" dxfId="0" priority="77" operator="between" text="!">
      <formula>NOT(ISERROR(SEARCH("!",F13)))</formula>
    </cfRule>
    <cfRule type="containsText" dxfId="4" priority="78" operator="between" text="未审核">
      <formula>NOT(ISERROR(SEARCH("未审核",F13)))</formula>
    </cfRule>
    <cfRule type="containsText" dxfId="5" priority="79" operator="between" text="预设班">
      <formula>NOT(ISERROR(SEARCH("预设班",F13)))</formula>
    </cfRule>
    <cfRule type="containsText" dxfId="3" priority="80" operator="between" text="教材">
      <formula>NOT(ISERROR(SEARCH("教材",F13)))</formula>
    </cfRule>
  </conditionalFormatting>
  <conditionalFormatting sqref="G13">
    <cfRule type="containsText" dxfId="0" priority="73" operator="between" text="!">
      <formula>NOT(ISERROR(SEARCH("!",G13)))</formula>
    </cfRule>
    <cfRule type="containsText" dxfId="4" priority="74" operator="between" text="未审核">
      <formula>NOT(ISERROR(SEARCH("未审核",G13)))</formula>
    </cfRule>
    <cfRule type="containsText" dxfId="5" priority="75" operator="between" text="预设班">
      <formula>NOT(ISERROR(SEARCH("预设班",G13)))</formula>
    </cfRule>
    <cfRule type="containsText" dxfId="3" priority="76" operator="between" text="教材">
      <formula>NOT(ISERROR(SEARCH("教材",G13)))</formula>
    </cfRule>
  </conditionalFormatting>
  <conditionalFormatting sqref="E14">
    <cfRule type="containsText" dxfId="0" priority="5" operator="between" text="!">
      <formula>NOT(ISERROR(SEARCH("!",E14)))</formula>
    </cfRule>
    <cfRule type="containsText" dxfId="4" priority="6" operator="between" text="未审核">
      <formula>NOT(ISERROR(SEARCH("未审核",E14)))</formula>
    </cfRule>
    <cfRule type="containsText" dxfId="5" priority="7" operator="between" text="预设班">
      <formula>NOT(ISERROR(SEARCH("预设班",E14)))</formula>
    </cfRule>
    <cfRule type="containsText" dxfId="3" priority="8" operator="between" text="教材">
      <formula>NOT(ISERROR(SEARCH("教材",E14)))</formula>
    </cfRule>
  </conditionalFormatting>
  <conditionalFormatting sqref="D4:G5 G7:G8 E12:G12 F10 D10 E11 E6:E7">
    <cfRule type="containsText" dxfId="0" priority="105" operator="between" text="!">
      <formula>NOT(ISERROR(SEARCH("!",D4)))</formula>
    </cfRule>
    <cfRule type="containsText" dxfId="4" priority="106" operator="between" text="未审核">
      <formula>NOT(ISERROR(SEARCH("未审核",D4)))</formula>
    </cfRule>
    <cfRule type="containsText" dxfId="5" priority="107" operator="between" text="预设班">
      <formula>NOT(ISERROR(SEARCH("预设班",D4)))</formula>
    </cfRule>
    <cfRule type="containsText" dxfId="3" priority="108" operator="between" text="教材">
      <formula>NOT(ISERROR(SEARCH("教材",D4)))</formula>
    </cfRule>
  </conditionalFormatting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"/>
  <sheetViews>
    <sheetView zoomScale="87" zoomScaleNormal="87" workbookViewId="0">
      <selection activeCell="K13" sqref="K13:R13"/>
    </sheetView>
  </sheetViews>
  <sheetFormatPr defaultColWidth="9" defaultRowHeight="14"/>
  <cols>
    <col min="1" max="1" width="9.5" customWidth="1"/>
    <col min="2" max="2" width="9.87272727272727" customWidth="1"/>
    <col min="3" max="3" width="10.3363636363636" customWidth="1"/>
    <col min="4" max="7" width="12.6272727272727" customWidth="1"/>
  </cols>
  <sheetData>
    <row r="1" ht="34.5" customHeight="1" spans="1:10">
      <c r="A1" s="204" t="s">
        <v>507</v>
      </c>
      <c r="B1" s="204"/>
      <c r="C1" s="204"/>
      <c r="D1" s="204"/>
      <c r="E1" s="204"/>
      <c r="F1" s="204"/>
      <c r="G1" s="57" t="str">
        <f>_xlfn.DISPIMG("ID_BA2870EBEA52492C9B7D35B01E991D30",1)</f>
        <v>=DISPIMG("ID_BA2870EBEA52492C9B7D35B01E991D30",1)</v>
      </c>
    </row>
    <row r="2" ht="33.75" customHeight="1" spans="1:10">
      <c r="A2" s="184"/>
      <c r="B2" s="184"/>
      <c r="C2" s="184"/>
      <c r="D2" s="184"/>
      <c r="E2" s="184"/>
      <c r="F2" s="184"/>
      <c r="G2" s="205"/>
    </row>
    <row r="3" ht="15.75" customHeight="1" spans="1:10">
      <c r="A3" s="58" t="s">
        <v>53</v>
      </c>
      <c r="B3" s="58" t="s">
        <v>3</v>
      </c>
      <c r="C3" s="58" t="s">
        <v>54</v>
      </c>
      <c r="D3" s="58" t="s">
        <v>6</v>
      </c>
      <c r="E3" s="58" t="s">
        <v>7</v>
      </c>
      <c r="F3" s="58" t="s">
        <v>242</v>
      </c>
      <c r="G3" s="58" t="s">
        <v>243</v>
      </c>
    </row>
    <row r="4" ht="58" spans="1:10">
      <c r="A4" s="59" t="s">
        <v>66</v>
      </c>
      <c r="B4" s="60" t="s">
        <v>470</v>
      </c>
      <c r="C4" s="60" t="s">
        <v>508</v>
      </c>
      <c r="D4" s="206" t="s">
        <v>509</v>
      </c>
      <c r="E4" s="38" t="s">
        <v>510</v>
      </c>
      <c r="F4" s="69" t="s">
        <v>511</v>
      </c>
      <c r="G4" s="206" t="s">
        <v>512</v>
      </c>
      <c r="J4" t="s">
        <v>395</v>
      </c>
    </row>
    <row r="5" ht="55" customHeight="1" spans="1:10">
      <c r="A5" s="59"/>
      <c r="B5" s="61"/>
      <c r="C5" s="61"/>
      <c r="D5" s="206" t="s">
        <v>513</v>
      </c>
      <c r="E5" s="69" t="s">
        <v>514</v>
      </c>
      <c r="F5" s="206" t="s">
        <v>515</v>
      </c>
      <c r="G5" s="207" t="s">
        <v>516</v>
      </c>
    </row>
    <row r="6" ht="29" spans="1:10">
      <c r="A6" s="59"/>
      <c r="B6" s="68"/>
      <c r="C6" s="68"/>
      <c r="D6" s="208" t="s">
        <v>517</v>
      </c>
      <c r="E6" s="209"/>
      <c r="F6" s="18"/>
      <c r="G6" s="210"/>
    </row>
    <row r="7" ht="58" spans="1:10">
      <c r="A7" s="59"/>
      <c r="B7" s="59" t="s">
        <v>479</v>
      </c>
      <c r="C7" s="59" t="s">
        <v>518</v>
      </c>
      <c r="D7" s="38" t="s">
        <v>519</v>
      </c>
      <c r="E7" s="38" t="s">
        <v>520</v>
      </c>
      <c r="F7" s="38" t="s">
        <v>521</v>
      </c>
      <c r="G7" s="38" t="s">
        <v>522</v>
      </c>
      <c r="I7" t="s">
        <v>395</v>
      </c>
    </row>
    <row r="8" ht="58" spans="1:10">
      <c r="A8" s="59"/>
      <c r="B8" s="60" t="s">
        <v>23</v>
      </c>
      <c r="C8" s="60" t="s">
        <v>523</v>
      </c>
      <c r="D8" s="18" t="s">
        <v>524</v>
      </c>
      <c r="E8" s="18" t="s">
        <v>525</v>
      </c>
      <c r="F8" s="38" t="s">
        <v>526</v>
      </c>
      <c r="G8" s="38" t="s">
        <v>527</v>
      </c>
    </row>
    <row r="9" ht="51" customHeight="1" spans="1:10">
      <c r="A9" s="59"/>
      <c r="B9" s="61"/>
      <c r="C9" s="61"/>
      <c r="D9" s="211" t="s">
        <v>528</v>
      </c>
      <c r="E9" s="18" t="s">
        <v>529</v>
      </c>
      <c r="F9" s="18" t="s">
        <v>530</v>
      </c>
      <c r="G9" s="18" t="s">
        <v>531</v>
      </c>
    </row>
    <row r="10" ht="29" spans="1:10">
      <c r="A10" s="59"/>
      <c r="B10" s="61"/>
      <c r="C10" s="68"/>
      <c r="D10" s="69" t="s">
        <v>532</v>
      </c>
      <c r="E10" s="209"/>
      <c r="F10" s="212"/>
      <c r="G10" s="18"/>
    </row>
    <row r="11" ht="43.5" spans="1:10">
      <c r="A11" s="59"/>
      <c r="B11" s="68"/>
      <c r="C11" s="59" t="s">
        <v>533</v>
      </c>
      <c r="D11" s="212" t="s">
        <v>534</v>
      </c>
      <c r="E11" s="209" t="s">
        <v>535</v>
      </c>
      <c r="F11" s="212" t="s">
        <v>536</v>
      </c>
      <c r="G11" s="18"/>
    </row>
  </sheetData>
  <mergeCells count="9">
    <mergeCell ref="A1:F1"/>
    <mergeCell ref="A2:F2"/>
    <mergeCell ref="A4:A11"/>
    <mergeCell ref="B4:B6"/>
    <mergeCell ref="B8:B11"/>
    <mergeCell ref="C4:C6"/>
    <mergeCell ref="C8:C10"/>
    <mergeCell ref="G1:G2"/>
    <mergeCell ref="G5:G6"/>
  </mergeCells>
  <conditionalFormatting sqref="F5">
    <cfRule type="containsText" dxfId="3" priority="8" operator="between" text="教材">
      <formula>NOT(ISERROR(SEARCH("教材",F5)))</formula>
    </cfRule>
    <cfRule type="containsText" dxfId="5" priority="7" operator="between" text="预设班">
      <formula>NOT(ISERROR(SEARCH("预设班",F5)))</formula>
    </cfRule>
    <cfRule type="containsText" dxfId="4" priority="6" operator="between" text="未审核">
      <formula>NOT(ISERROR(SEARCH("未审核",F5)))</formula>
    </cfRule>
    <cfRule type="containsText" dxfId="0" priority="5" operator="between" text="!">
      <formula>NOT(ISERROR(SEARCH("!",F5)))</formula>
    </cfRule>
  </conditionalFormatting>
  <conditionalFormatting sqref="F7">
    <cfRule type="containsText" dxfId="0" priority="45" operator="between" text="!">
      <formula>NOT(ISERROR(SEARCH("!",F7)))</formula>
    </cfRule>
    <cfRule type="containsText" dxfId="4" priority="46" operator="between" text="未审核">
      <formula>NOT(ISERROR(SEARCH("未审核",F7)))</formula>
    </cfRule>
    <cfRule type="containsText" dxfId="5" priority="47" operator="between" text="预设班">
      <formula>NOT(ISERROR(SEARCH("预设班",F7)))</formula>
    </cfRule>
    <cfRule type="containsText" dxfId="3" priority="48" operator="between" text="教材">
      <formula>NOT(ISERROR(SEARCH("教材",F7)))</formula>
    </cfRule>
  </conditionalFormatting>
  <conditionalFormatting sqref="G7">
    <cfRule type="containsText" dxfId="0" priority="41" operator="between" text="!">
      <formula>NOT(ISERROR(SEARCH("!",G7)))</formula>
    </cfRule>
    <cfRule type="containsText" dxfId="4" priority="42" operator="between" text="未审核">
      <formula>NOT(ISERROR(SEARCH("未审核",G7)))</formula>
    </cfRule>
    <cfRule type="containsText" dxfId="5" priority="43" operator="between" text="预设班">
      <formula>NOT(ISERROR(SEARCH("预设班",G7)))</formula>
    </cfRule>
    <cfRule type="containsText" dxfId="3" priority="44" operator="between" text="教材">
      <formula>NOT(ISERROR(SEARCH("教材",G7)))</formula>
    </cfRule>
  </conditionalFormatting>
  <conditionalFormatting sqref="D8">
    <cfRule type="containsText" dxfId="3" priority="12" operator="between" text="教材">
      <formula>NOT(ISERROR(SEARCH("教材",D8)))</formula>
    </cfRule>
    <cfRule type="containsText" dxfId="5" priority="11" operator="between" text="预设班">
      <formula>NOT(ISERROR(SEARCH("预设班",D8)))</formula>
    </cfRule>
    <cfRule type="containsText" dxfId="4" priority="10" operator="between" text="未审核">
      <formula>NOT(ISERROR(SEARCH("未审核",D8)))</formula>
    </cfRule>
    <cfRule type="containsText" dxfId="0" priority="9" operator="between" text="!">
      <formula>NOT(ISERROR(SEARCH("!",D8)))</formula>
    </cfRule>
  </conditionalFormatting>
  <conditionalFormatting sqref="D9">
    <cfRule type="containsText" dxfId="0" priority="13" operator="between" text="!">
      <formula>NOT(ISERROR(SEARCH("!",D9)))</formula>
    </cfRule>
    <cfRule type="containsText" dxfId="4" priority="14" operator="between" text="未审核">
      <formula>NOT(ISERROR(SEARCH("未审核",D9)))</formula>
    </cfRule>
    <cfRule type="containsText" dxfId="5" priority="15" operator="between" text="预设班">
      <formula>NOT(ISERROR(SEARCH("预设班",D9)))</formula>
    </cfRule>
    <cfRule type="containsText" dxfId="3" priority="16" operator="between" text="教材">
      <formula>NOT(ISERROR(SEARCH("教材",D9)))</formula>
    </cfRule>
  </conditionalFormatting>
  <conditionalFormatting sqref="D10">
    <cfRule type="containsText" dxfId="3" priority="4" operator="between" text="教材">
      <formula>NOT(ISERROR(SEARCH("教材",D10)))</formula>
    </cfRule>
    <cfRule type="containsText" dxfId="5" priority="3" operator="between" text="预设班">
      <formula>NOT(ISERROR(SEARCH("预设班",D10)))</formula>
    </cfRule>
    <cfRule type="containsText" dxfId="4" priority="2" operator="between" text="未审核">
      <formula>NOT(ISERROR(SEARCH("未审核",D10)))</formula>
    </cfRule>
    <cfRule type="containsText" dxfId="0" priority="1" operator="between" text="!">
      <formula>NOT(ISERROR(SEARCH("!",D10)))</formula>
    </cfRule>
  </conditionalFormatting>
  <conditionalFormatting sqref="G9:G10">
    <cfRule type="containsText" dxfId="0" priority="25" operator="between" text="!">
      <formula>NOT(ISERROR(SEARCH("!",G9)))</formula>
    </cfRule>
    <cfRule type="containsText" dxfId="4" priority="26" operator="between" text="未审核">
      <formula>NOT(ISERROR(SEARCH("未审核",G9)))</formula>
    </cfRule>
    <cfRule type="containsText" dxfId="5" priority="27" operator="between" text="预设班">
      <formula>NOT(ISERROR(SEARCH("预设班",G9)))</formula>
    </cfRule>
    <cfRule type="containsText" dxfId="3" priority="28" operator="between" text="教材">
      <formula>NOT(ISERROR(SEARCH("教材",G9)))</formula>
    </cfRule>
  </conditionalFormatting>
  <conditionalFormatting sqref="D4:G4 D5:E5 G5 D6:F6 E8:G8 E9:F10 D7:E7 D11:G11">
    <cfRule type="containsText" dxfId="0" priority="49" operator="between" text="!">
      <formula>NOT(ISERROR(SEARCH("!",D4)))</formula>
    </cfRule>
    <cfRule type="containsText" dxfId="4" priority="50" operator="between" text="未审核">
      <formula>NOT(ISERROR(SEARCH("未审核",D4)))</formula>
    </cfRule>
    <cfRule type="containsText" dxfId="5" priority="51" operator="between" text="预设班">
      <formula>NOT(ISERROR(SEARCH("预设班",D4)))</formula>
    </cfRule>
    <cfRule type="containsText" dxfId="3" priority="52" operator="between" text="教材">
      <formula>NOT(ISERROR(SEARCH("教材",D4)))</formula>
    </cfRule>
  </conditionalFormatting>
  <pageMargins left="0.7" right="0.7" top="0.75" bottom="0.75" header="0.3" footer="0.3"/>
  <pageSetup paperSize="9" orientation="portrait" verticalDpi="30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zoomScale="80" zoomScaleNormal="80" workbookViewId="0">
      <selection activeCell="G6" sqref="G6"/>
    </sheetView>
  </sheetViews>
  <sheetFormatPr defaultColWidth="8.72727272727273" defaultRowHeight="14" outlineLevelCol="6"/>
  <cols>
    <col min="4" max="4" width="13.0909090909091" customWidth="1"/>
    <col min="5" max="5" width="13.7454545454545" customWidth="1"/>
    <col min="6" max="6" width="12.9454545454545" customWidth="1"/>
    <col min="7" max="7" width="14.4363636363636" customWidth="1"/>
  </cols>
  <sheetData>
    <row r="1" ht="20" spans="1:7">
      <c r="A1" s="197" t="s">
        <v>537</v>
      </c>
      <c r="B1" s="197"/>
      <c r="C1" s="197"/>
      <c r="D1" s="197"/>
      <c r="E1" s="197"/>
      <c r="F1" s="197"/>
      <c r="G1" s="197"/>
    </row>
    <row r="2" spans="1:7">
      <c r="A2" s="184" t="s">
        <v>538</v>
      </c>
      <c r="B2" s="184"/>
      <c r="C2" s="184"/>
      <c r="D2" s="184"/>
      <c r="E2" s="184"/>
      <c r="F2" s="184"/>
      <c r="G2" s="198"/>
    </row>
    <row r="3" ht="16.5" spans="1:7">
      <c r="A3" s="199" t="s">
        <v>53</v>
      </c>
      <c r="B3" s="199" t="s">
        <v>3</v>
      </c>
      <c r="C3" s="200" t="s">
        <v>54</v>
      </c>
      <c r="D3" s="201" t="s">
        <v>6</v>
      </c>
      <c r="E3" s="201" t="s">
        <v>7</v>
      </c>
      <c r="F3" s="201" t="s">
        <v>242</v>
      </c>
      <c r="G3" s="202" t="s">
        <v>243</v>
      </c>
    </row>
    <row r="4" ht="74" customHeight="1" spans="1:7">
      <c r="A4" s="199" t="s">
        <v>77</v>
      </c>
      <c r="B4" s="202" t="s">
        <v>258</v>
      </c>
      <c r="C4" s="203" t="s">
        <v>539</v>
      </c>
      <c r="D4" s="18" t="s">
        <v>540</v>
      </c>
      <c r="E4" s="18" t="s">
        <v>541</v>
      </c>
      <c r="F4" s="18" t="s">
        <v>542</v>
      </c>
      <c r="G4" s="18" t="s">
        <v>543</v>
      </c>
    </row>
    <row r="5" ht="43.5" spans="1:7">
      <c r="A5" s="199"/>
      <c r="B5" s="202"/>
      <c r="C5" s="203"/>
      <c r="D5" s="18" t="s">
        <v>544</v>
      </c>
      <c r="E5" s="18" t="s">
        <v>545</v>
      </c>
      <c r="F5" s="18" t="s">
        <v>546</v>
      </c>
      <c r="G5" s="32" t="s">
        <v>547</v>
      </c>
    </row>
    <row r="6" ht="54" customHeight="1" spans="1:7">
      <c r="A6" s="199"/>
      <c r="B6" s="202"/>
      <c r="C6" s="203"/>
      <c r="D6" s="18" t="s">
        <v>548</v>
      </c>
      <c r="E6" s="18"/>
      <c r="F6" s="18"/>
      <c r="G6" s="18" t="s">
        <v>549</v>
      </c>
    </row>
    <row r="7" ht="16.5" spans="1:7">
      <c r="A7" s="199" t="s">
        <v>53</v>
      </c>
      <c r="B7" s="199" t="s">
        <v>3</v>
      </c>
      <c r="C7" s="199" t="s">
        <v>54</v>
      </c>
      <c r="D7" s="201" t="s">
        <v>6</v>
      </c>
      <c r="E7" s="201" t="s">
        <v>7</v>
      </c>
      <c r="F7" s="201" t="s">
        <v>242</v>
      </c>
      <c r="G7" s="202" t="s">
        <v>243</v>
      </c>
    </row>
    <row r="8" ht="78" customHeight="1" spans="1:7">
      <c r="A8" s="199" t="s">
        <v>77</v>
      </c>
      <c r="B8" s="202" t="s">
        <v>258</v>
      </c>
      <c r="C8" s="203" t="s">
        <v>550</v>
      </c>
      <c r="D8" s="20" t="s">
        <v>551</v>
      </c>
      <c r="E8" s="20" t="s">
        <v>552</v>
      </c>
      <c r="F8" s="20" t="s">
        <v>553</v>
      </c>
      <c r="G8" s="20" t="s">
        <v>554</v>
      </c>
    </row>
    <row r="9" spans="1:7">
      <c r="A9" s="199"/>
      <c r="B9" s="202"/>
      <c r="C9" s="203"/>
      <c r="D9" s="20" t="s">
        <v>555</v>
      </c>
      <c r="E9" s="81"/>
      <c r="F9" s="81"/>
      <c r="G9" s="20" t="s">
        <v>556</v>
      </c>
    </row>
    <row r="10" ht="43.5" spans="1:7">
      <c r="A10" s="199"/>
      <c r="B10" s="202"/>
      <c r="C10" s="203"/>
      <c r="D10" s="64"/>
      <c r="E10" s="64"/>
      <c r="F10" s="18" t="s">
        <v>557</v>
      </c>
      <c r="G10" s="64"/>
    </row>
  </sheetData>
  <mergeCells count="14">
    <mergeCell ref="A1:G1"/>
    <mergeCell ref="A2:G2"/>
    <mergeCell ref="A4:A6"/>
    <mergeCell ref="A8:A10"/>
    <mergeCell ref="B4:B6"/>
    <mergeCell ref="B8:B10"/>
    <mergeCell ref="C4:C6"/>
    <mergeCell ref="C8:C10"/>
    <mergeCell ref="D9:D10"/>
    <mergeCell ref="E5:E6"/>
    <mergeCell ref="E8:E10"/>
    <mergeCell ref="F5:F6"/>
    <mergeCell ref="F8:F9"/>
    <mergeCell ref="G9:G10"/>
  </mergeCells>
  <conditionalFormatting sqref="D3:G3">
    <cfRule type="containsText" dxfId="0" priority="13" operator="between" text="!">
      <formula>NOT(ISERROR(SEARCH("!",D3)))</formula>
    </cfRule>
    <cfRule type="containsText" dxfId="1" priority="14" operator="between" text="未审核">
      <formula>NOT(ISERROR(SEARCH("未审核",D3)))</formula>
    </cfRule>
    <cfRule type="containsText" dxfId="2" priority="15" operator="between" text="预设班">
      <formula>NOT(ISERROR(SEARCH("预设班",D3)))</formula>
    </cfRule>
    <cfRule type="containsText" dxfId="3" priority="16" operator="between" text="教材">
      <formula>NOT(ISERROR(SEARCH("教材",D3)))</formula>
    </cfRule>
  </conditionalFormatting>
  <conditionalFormatting sqref="D7:G7">
    <cfRule type="containsText" dxfId="0" priority="1" operator="between" text="!">
      <formula>NOT(ISERROR(SEARCH("!",D7)))</formula>
    </cfRule>
    <cfRule type="containsText" dxfId="1" priority="2" operator="between" text="未审核">
      <formula>NOT(ISERROR(SEARCH("未审核",D7)))</formula>
    </cfRule>
    <cfRule type="containsText" dxfId="2" priority="3" operator="between" text="预设班">
      <formula>NOT(ISERROR(SEARCH("预设班",D7)))</formula>
    </cfRule>
    <cfRule type="containsText" dxfId="3" priority="4" operator="between" text="教材">
      <formula>NOT(ISERROR(SEARCH("教材",D7)))</formula>
    </cfRule>
  </conditionalFormatting>
  <conditionalFormatting sqref="C4:C5 C8">
    <cfRule type="containsText" dxfId="0" priority="17" operator="between" text="!">
      <formula>NOT(ISERROR(SEARCH("!",C4)))</formula>
    </cfRule>
    <cfRule type="containsText" dxfId="1" priority="18" operator="between" text="未审核">
      <formula>NOT(ISERROR(SEARCH("未审核",C4)))</formula>
    </cfRule>
    <cfRule type="containsText" dxfId="2" priority="19" operator="between" text="预设班">
      <formula>NOT(ISERROR(SEARCH("预设班",C4)))</formula>
    </cfRule>
    <cfRule type="containsText" dxfId="3" priority="20" operator="between" text="教材">
      <formula>NOT(ISERROR(SEARCH("教材",C4)))</formula>
    </cfRule>
  </conditionalFormatting>
  <pageMargins left="0.75" right="0.75" top="1" bottom="1" header="0.5" footer="0.5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zoomScale="70" zoomScaleNormal="70" topLeftCell="A2" workbookViewId="0">
      <selection activeCell="H4" sqref="H4:H5"/>
    </sheetView>
  </sheetViews>
  <sheetFormatPr defaultColWidth="8.88181818181818" defaultRowHeight="14" outlineLevelCol="7"/>
  <cols>
    <col min="4" max="4" width="14.2" customWidth="1"/>
    <col min="5" max="5" width="16.2727272727273" customWidth="1"/>
    <col min="6" max="6" width="17.3636363636364" customWidth="1"/>
    <col min="7" max="7" width="15.0363636363636" customWidth="1"/>
    <col min="8" max="8" width="14.5545454545455" customWidth="1"/>
  </cols>
  <sheetData>
    <row r="1" ht="20" spans="1:8">
      <c r="A1" s="70" t="s">
        <v>558</v>
      </c>
      <c r="B1" s="70"/>
      <c r="C1" s="70"/>
      <c r="D1" s="70"/>
      <c r="E1" s="70"/>
      <c r="F1" s="70"/>
      <c r="G1" s="71" t="s">
        <v>1</v>
      </c>
      <c r="H1" s="72"/>
    </row>
    <row r="2" ht="55" customHeight="1" spans="1:8">
      <c r="A2" s="184" t="s">
        <v>538</v>
      </c>
      <c r="B2" s="184"/>
      <c r="C2" s="184"/>
      <c r="D2" s="184"/>
      <c r="E2" s="184"/>
      <c r="F2" s="184"/>
      <c r="G2" s="185"/>
      <c r="H2" s="72"/>
    </row>
    <row r="3" ht="14.5" spans="1:8">
      <c r="A3" s="73" t="s">
        <v>53</v>
      </c>
      <c r="B3" s="73" t="s">
        <v>3</v>
      </c>
      <c r="C3" s="73" t="s">
        <v>54</v>
      </c>
      <c r="D3" s="73" t="s">
        <v>6</v>
      </c>
      <c r="E3" s="73" t="s">
        <v>7</v>
      </c>
      <c r="F3" s="73" t="s">
        <v>242</v>
      </c>
      <c r="G3" s="73" t="s">
        <v>243</v>
      </c>
      <c r="H3" s="73" t="s">
        <v>10</v>
      </c>
    </row>
    <row r="4" ht="60" customHeight="1" spans="1:8">
      <c r="A4" s="186" t="s">
        <v>55</v>
      </c>
      <c r="B4" s="74" t="s">
        <v>258</v>
      </c>
      <c r="C4" s="85" t="s">
        <v>559</v>
      </c>
      <c r="D4" s="65" t="s">
        <v>560</v>
      </c>
      <c r="E4" s="18" t="s">
        <v>561</v>
      </c>
      <c r="F4" s="65" t="s">
        <v>562</v>
      </c>
      <c r="G4" s="20" t="s">
        <v>563</v>
      </c>
      <c r="H4" s="20" t="s">
        <v>564</v>
      </c>
    </row>
    <row r="5" ht="53" customHeight="1" spans="1:8">
      <c r="A5" s="187"/>
      <c r="B5" s="78"/>
      <c r="C5" s="85"/>
      <c r="D5" s="67"/>
      <c r="E5" s="18" t="s">
        <v>565</v>
      </c>
      <c r="F5" s="67"/>
      <c r="G5" s="64"/>
      <c r="H5" s="64"/>
    </row>
    <row r="6" ht="58" customHeight="1" spans="1:8">
      <c r="A6" s="187"/>
      <c r="B6" s="78"/>
      <c r="C6" s="188" t="s">
        <v>566</v>
      </c>
      <c r="D6" s="189" t="s">
        <v>567</v>
      </c>
      <c r="E6" s="190" t="s">
        <v>568</v>
      </c>
      <c r="F6" s="191" t="s">
        <v>569</v>
      </c>
      <c r="G6" s="192" t="s">
        <v>570</v>
      </c>
      <c r="H6" s="192" t="s">
        <v>571</v>
      </c>
    </row>
    <row r="7" ht="14.5" spans="1:8">
      <c r="A7" s="73" t="s">
        <v>53</v>
      </c>
      <c r="B7" s="73" t="s">
        <v>5</v>
      </c>
      <c r="C7" s="73" t="s">
        <v>54</v>
      </c>
      <c r="D7" s="73" t="s">
        <v>6</v>
      </c>
      <c r="E7" s="73" t="s">
        <v>7</v>
      </c>
      <c r="F7" s="73" t="s">
        <v>242</v>
      </c>
      <c r="G7" s="73" t="s">
        <v>243</v>
      </c>
      <c r="H7" s="73" t="s">
        <v>10</v>
      </c>
    </row>
    <row r="8" spans="1:8">
      <c r="A8" s="187" t="s">
        <v>55</v>
      </c>
      <c r="B8" s="78" t="s">
        <v>258</v>
      </c>
      <c r="C8" s="193" t="s">
        <v>572</v>
      </c>
      <c r="D8" s="129" t="s">
        <v>573</v>
      </c>
      <c r="E8" s="20" t="s">
        <v>574</v>
      </c>
      <c r="F8" s="18" t="s">
        <v>575</v>
      </c>
      <c r="G8" s="20" t="s">
        <v>576</v>
      </c>
      <c r="H8" s="20"/>
    </row>
    <row r="9" ht="31" customHeight="1" spans="1:8">
      <c r="A9" s="187"/>
      <c r="B9" s="78"/>
      <c r="C9" s="85"/>
      <c r="D9" s="63"/>
      <c r="E9" s="64"/>
      <c r="F9" s="18"/>
      <c r="G9" s="81"/>
      <c r="H9" s="81"/>
    </row>
    <row r="10" ht="43.5" spans="1:8">
      <c r="A10" s="187"/>
      <c r="B10" s="78"/>
      <c r="C10" s="85"/>
      <c r="D10" s="194"/>
      <c r="E10" s="69" t="s">
        <v>577</v>
      </c>
      <c r="F10" s="81" t="s">
        <v>578</v>
      </c>
      <c r="G10" s="81"/>
      <c r="H10" s="81"/>
    </row>
    <row r="11" ht="58" spans="1:8">
      <c r="A11" s="187"/>
      <c r="B11" s="78"/>
      <c r="C11" s="85"/>
      <c r="D11" s="18" t="s">
        <v>579</v>
      </c>
      <c r="E11" s="18" t="s">
        <v>580</v>
      </c>
      <c r="F11" s="64"/>
      <c r="G11" s="81"/>
      <c r="H11" s="81"/>
    </row>
    <row r="12" ht="43.5" spans="1:8">
      <c r="A12" s="195"/>
      <c r="B12" s="83"/>
      <c r="C12" s="196" t="s">
        <v>581</v>
      </c>
      <c r="D12" s="196" t="s">
        <v>571</v>
      </c>
      <c r="E12" s="190" t="s">
        <v>570</v>
      </c>
      <c r="F12" s="190" t="s">
        <v>582</v>
      </c>
      <c r="G12" s="190" t="s">
        <v>583</v>
      </c>
      <c r="H12" s="64"/>
    </row>
  </sheetData>
  <mergeCells count="20">
    <mergeCell ref="A1:F1"/>
    <mergeCell ref="A2:F2"/>
    <mergeCell ref="A4:A6"/>
    <mergeCell ref="A8:A12"/>
    <mergeCell ref="B4:B6"/>
    <mergeCell ref="B8:B12"/>
    <mergeCell ref="C4:C5"/>
    <mergeCell ref="C8:C11"/>
    <mergeCell ref="D4:D5"/>
    <mergeCell ref="D8:D10"/>
    <mergeCell ref="E8:E9"/>
    <mergeCell ref="F4:F5"/>
    <mergeCell ref="F8:F9"/>
    <mergeCell ref="F10:F11"/>
    <mergeCell ref="G1:G2"/>
    <mergeCell ref="G4:G5"/>
    <mergeCell ref="G8:G11"/>
    <mergeCell ref="H1:H2"/>
    <mergeCell ref="H4:H5"/>
    <mergeCell ref="H8:H12"/>
  </mergeCells>
  <conditionalFormatting sqref="F4">
    <cfRule type="containsText" dxfId="3" priority="8" operator="between" text="教材">
      <formula>NOT(ISERROR(SEARCH("教材",F4)))</formula>
    </cfRule>
    <cfRule type="containsText" dxfId="5" priority="7" operator="between" text="预设班">
      <formula>NOT(ISERROR(SEARCH("预设班",F4)))</formula>
    </cfRule>
    <cfRule type="containsText" dxfId="4" priority="6" operator="between" text="未审核">
      <formula>NOT(ISERROR(SEARCH("未审核",F4)))</formula>
    </cfRule>
    <cfRule type="containsText" dxfId="0" priority="5" operator="between" text="!">
      <formula>NOT(ISERROR(SEARCH("!",F4)))</formula>
    </cfRule>
  </conditionalFormatting>
  <conditionalFormatting sqref="E6">
    <cfRule type="containsText" dxfId="3" priority="16" operator="between" text="教材">
      <formula>NOT(ISERROR(SEARCH("教材",E6)))</formula>
    </cfRule>
    <cfRule type="containsText" dxfId="5" priority="15" operator="between" text="预设班">
      <formula>NOT(ISERROR(SEARCH("预设班",E6)))</formula>
    </cfRule>
    <cfRule type="containsText" dxfId="4" priority="14" operator="between" text="未审核">
      <formula>NOT(ISERROR(SEARCH("未审核",E6)))</formula>
    </cfRule>
    <cfRule type="containsText" dxfId="0" priority="13" operator="between" text="!">
      <formula>NOT(ISERROR(SEARCH("!",E6)))</formula>
    </cfRule>
  </conditionalFormatting>
  <conditionalFormatting sqref="E10">
    <cfRule type="containsText" dxfId="3" priority="4" operator="between" text="教材">
      <formula>NOT(ISERROR(SEARCH("教材",E10)))</formula>
    </cfRule>
    <cfRule type="containsText" dxfId="5" priority="3" operator="between" text="预设班">
      <formula>NOT(ISERROR(SEARCH("预设班",E10)))</formula>
    </cfRule>
    <cfRule type="containsText" dxfId="4" priority="2" operator="between" text="未审核">
      <formula>NOT(ISERROR(SEARCH("未审核",E10)))</formula>
    </cfRule>
    <cfRule type="containsText" dxfId="0" priority="1" operator="between" text="!">
      <formula>NOT(ISERROR(SEARCH("!",E10)))</formula>
    </cfRule>
  </conditionalFormatting>
  <conditionalFormatting sqref="E12">
    <cfRule type="containsText" dxfId="3" priority="12" operator="between" text="教材">
      <formula>NOT(ISERROR(SEARCH("教材",E12)))</formula>
    </cfRule>
    <cfRule type="containsText" dxfId="5" priority="11" operator="between" text="预设班">
      <formula>NOT(ISERROR(SEARCH("预设班",E12)))</formula>
    </cfRule>
    <cfRule type="containsText" dxfId="4" priority="10" operator="between" text="未审核">
      <formula>NOT(ISERROR(SEARCH("未审核",E12)))</formula>
    </cfRule>
    <cfRule type="containsText" dxfId="0" priority="9" operator="between" text="!">
      <formula>NOT(ISERROR(SEARCH("!",E12)))</formula>
    </cfRule>
  </conditionalFormatting>
  <conditionalFormatting sqref="D4:E4 G4:H4 E5 D8:H8 F10 D11:E11">
    <cfRule type="containsText" dxfId="3" priority="20" operator="between" text="教材">
      <formula>NOT(ISERROR(SEARCH("教材",D4)))</formula>
    </cfRule>
    <cfRule type="containsText" dxfId="5" priority="19" operator="between" text="预设班">
      <formula>NOT(ISERROR(SEARCH("预设班",D4)))</formula>
    </cfRule>
    <cfRule type="containsText" dxfId="4" priority="18" operator="between" text="未审核">
      <formula>NOT(ISERROR(SEARCH("未审核",D4)))</formula>
    </cfRule>
    <cfRule type="containsText" dxfId="0" priority="17" operator="between" text="!">
      <formula>NOT(ISERROR(SEARCH("!",D4)))</formula>
    </cfRule>
  </conditionalFormatting>
  <pageMargins left="0.75" right="0.75" top="1" bottom="1" header="0.5" footer="0.5"/>
  <pageSetup paperSize="9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zoomScale="71" zoomScaleNormal="71" topLeftCell="A7" workbookViewId="0">
      <selection activeCell="K13" sqref="K13:R13"/>
    </sheetView>
  </sheetViews>
  <sheetFormatPr defaultColWidth="8.88181818181818" defaultRowHeight="14" outlineLevelCol="7"/>
  <cols>
    <col min="3" max="3" width="13.3090909090909" customWidth="1"/>
    <col min="4" max="4" width="15.6181818181818" customWidth="1"/>
    <col min="5" max="5" width="15.8727272727273" customWidth="1"/>
    <col min="6" max="6" width="14.8545454545455" customWidth="1"/>
    <col min="7" max="7" width="15.3636363636364" customWidth="1"/>
    <col min="8" max="8" width="18.0454545454545" customWidth="1"/>
  </cols>
  <sheetData>
    <row r="1" ht="27.5" spans="1:8">
      <c r="A1" s="132" t="s">
        <v>584</v>
      </c>
      <c r="B1" s="132"/>
      <c r="C1" s="132"/>
      <c r="D1" s="132"/>
      <c r="E1" s="132"/>
      <c r="F1" s="132"/>
      <c r="G1" s="132"/>
      <c r="H1" s="133"/>
    </row>
    <row r="2" ht="54" customHeight="1" spans="1:8">
      <c r="A2" s="134" t="s">
        <v>585</v>
      </c>
      <c r="B2" s="134"/>
      <c r="C2" s="134"/>
      <c r="D2" s="134"/>
      <c r="E2" s="134"/>
      <c r="F2" s="134"/>
      <c r="G2" s="135"/>
      <c r="H2" s="136"/>
    </row>
    <row r="3" ht="16.5" spans="1:8">
      <c r="A3" s="137" t="s">
        <v>53</v>
      </c>
      <c r="B3" s="137" t="s">
        <v>3</v>
      </c>
      <c r="C3" s="137" t="s">
        <v>54</v>
      </c>
      <c r="D3" s="137" t="s">
        <v>6</v>
      </c>
      <c r="E3" s="137" t="s">
        <v>7</v>
      </c>
      <c r="F3" s="137" t="s">
        <v>242</v>
      </c>
      <c r="G3" s="137" t="s">
        <v>243</v>
      </c>
      <c r="H3" s="136"/>
    </row>
    <row r="4" ht="62" customHeight="1" spans="1:8">
      <c r="A4" s="138" t="s">
        <v>66</v>
      </c>
      <c r="B4" s="139" t="s">
        <v>586</v>
      </c>
      <c r="C4" s="140" t="s">
        <v>587</v>
      </c>
      <c r="D4" s="141" t="s">
        <v>588</v>
      </c>
      <c r="E4" s="142" t="s">
        <v>589</v>
      </c>
      <c r="F4" s="141" t="s">
        <v>590</v>
      </c>
      <c r="G4" s="143" t="s">
        <v>591</v>
      </c>
      <c r="H4" s="136"/>
    </row>
    <row r="5" ht="43" customHeight="1" spans="1:8">
      <c r="A5" s="138"/>
      <c r="B5" s="144"/>
      <c r="C5" s="145"/>
      <c r="D5" s="141" t="s">
        <v>592</v>
      </c>
      <c r="E5" s="146" t="s">
        <v>593</v>
      </c>
      <c r="F5" s="147" t="s">
        <v>594</v>
      </c>
      <c r="G5" s="148"/>
      <c r="H5" s="136"/>
    </row>
    <row r="6" ht="70" customHeight="1" spans="1:8">
      <c r="A6" s="138"/>
      <c r="B6" s="149"/>
      <c r="C6" s="150"/>
      <c r="D6" s="141" t="s">
        <v>595</v>
      </c>
      <c r="E6" s="151"/>
      <c r="F6" s="152"/>
      <c r="G6" s="153"/>
      <c r="H6" s="136"/>
    </row>
    <row r="7" ht="78" customHeight="1" spans="1:8">
      <c r="A7" s="138"/>
      <c r="B7" s="154"/>
      <c r="C7" s="138" t="s">
        <v>596</v>
      </c>
      <c r="D7" s="141" t="s">
        <v>597</v>
      </c>
      <c r="E7" s="142" t="s">
        <v>598</v>
      </c>
      <c r="F7" s="141" t="s">
        <v>599</v>
      </c>
      <c r="G7" s="155"/>
      <c r="H7" s="136"/>
    </row>
    <row r="8" ht="16.5" spans="1:8">
      <c r="A8" s="137" t="s">
        <v>53</v>
      </c>
      <c r="B8" s="137" t="s">
        <v>3</v>
      </c>
      <c r="C8" s="137" t="s">
        <v>54</v>
      </c>
      <c r="D8" s="137" t="s">
        <v>6</v>
      </c>
      <c r="E8" s="137" t="s">
        <v>7</v>
      </c>
      <c r="F8" s="137" t="s">
        <v>242</v>
      </c>
      <c r="G8" s="137" t="s">
        <v>243</v>
      </c>
      <c r="H8" s="136"/>
    </row>
    <row r="9" ht="71" customHeight="1" spans="1:8">
      <c r="A9" s="138" t="s">
        <v>66</v>
      </c>
      <c r="B9" s="156" t="s">
        <v>258</v>
      </c>
      <c r="C9" s="138" t="s">
        <v>600</v>
      </c>
      <c r="D9" s="141" t="s">
        <v>601</v>
      </c>
      <c r="E9" s="141" t="s">
        <v>602</v>
      </c>
      <c r="F9" s="141" t="s">
        <v>603</v>
      </c>
      <c r="G9" s="141" t="s">
        <v>604</v>
      </c>
      <c r="H9" s="136"/>
    </row>
    <row r="10" ht="63" customHeight="1" spans="1:8">
      <c r="A10" s="138"/>
      <c r="B10" s="156"/>
      <c r="C10" s="138"/>
      <c r="D10" s="141" t="s">
        <v>605</v>
      </c>
      <c r="E10" s="141" t="s">
        <v>606</v>
      </c>
      <c r="F10" s="141" t="s">
        <v>607</v>
      </c>
      <c r="G10" s="141" t="s">
        <v>608</v>
      </c>
      <c r="H10" s="136"/>
    </row>
    <row r="11" ht="66" spans="1:8">
      <c r="A11" s="138"/>
      <c r="B11" s="156"/>
      <c r="C11" s="157"/>
      <c r="D11" s="141" t="s">
        <v>609</v>
      </c>
      <c r="E11" s="141"/>
      <c r="F11" s="141"/>
      <c r="G11" s="141"/>
      <c r="H11" s="136"/>
    </row>
    <row r="12" ht="74" customHeight="1" spans="1:8">
      <c r="A12" s="138"/>
      <c r="B12" s="156"/>
      <c r="C12" s="138" t="s">
        <v>610</v>
      </c>
      <c r="D12" s="141" t="s">
        <v>611</v>
      </c>
      <c r="E12" s="141" t="s">
        <v>612</v>
      </c>
      <c r="F12" s="141" t="s">
        <v>613</v>
      </c>
      <c r="G12" s="141"/>
      <c r="H12" s="136"/>
    </row>
    <row r="13" ht="27.5" spans="1:8">
      <c r="B13" s="158" t="s">
        <v>614</v>
      </c>
      <c r="C13" s="159"/>
      <c r="D13" s="159"/>
      <c r="E13" s="159"/>
      <c r="F13" s="159"/>
      <c r="G13" s="159"/>
      <c r="H13" s="160"/>
    </row>
    <row r="14" ht="14.5" spans="1:8">
      <c r="B14" s="161" t="s">
        <v>615</v>
      </c>
      <c r="C14" s="162"/>
      <c r="D14" s="162"/>
      <c r="E14" s="162"/>
      <c r="F14" s="162"/>
      <c r="G14" s="162"/>
      <c r="H14" s="163"/>
    </row>
    <row r="15" ht="14.5" spans="1:8">
      <c r="B15" s="164" t="s">
        <v>53</v>
      </c>
      <c r="C15" s="164" t="s">
        <v>3</v>
      </c>
      <c r="D15" s="164" t="s">
        <v>5</v>
      </c>
      <c r="E15" s="164" t="s">
        <v>6</v>
      </c>
      <c r="F15" s="164" t="s">
        <v>7</v>
      </c>
      <c r="G15" s="164" t="s">
        <v>242</v>
      </c>
      <c r="H15" s="164" t="s">
        <v>243</v>
      </c>
    </row>
    <row r="16" ht="29" spans="1:8">
      <c r="B16" s="165" t="s">
        <v>66</v>
      </c>
      <c r="C16" s="166" t="s">
        <v>616</v>
      </c>
      <c r="D16" s="166" t="s">
        <v>437</v>
      </c>
      <c r="E16" s="166" t="s">
        <v>617</v>
      </c>
      <c r="F16" s="166" t="s">
        <v>618</v>
      </c>
      <c r="G16" s="166" t="s">
        <v>619</v>
      </c>
      <c r="H16" s="166" t="s">
        <v>620</v>
      </c>
    </row>
    <row r="17" ht="29" spans="2:8">
      <c r="B17" s="165"/>
      <c r="C17" s="166"/>
      <c r="D17" s="166"/>
      <c r="E17" s="166" t="s">
        <v>621</v>
      </c>
      <c r="F17" s="166" t="s">
        <v>622</v>
      </c>
      <c r="G17" s="166" t="s">
        <v>623</v>
      </c>
      <c r="H17" s="167"/>
    </row>
    <row r="18" ht="29" spans="2:8">
      <c r="B18" s="165"/>
      <c r="C18" s="166"/>
      <c r="D18" s="166"/>
      <c r="E18" s="167"/>
      <c r="F18" s="167"/>
      <c r="G18" s="166" t="s">
        <v>624</v>
      </c>
      <c r="H18" s="167"/>
    </row>
    <row r="19" ht="43.5" spans="2:8">
      <c r="B19" s="168" t="s">
        <v>66</v>
      </c>
      <c r="C19" s="169" t="s">
        <v>625</v>
      </c>
      <c r="D19" s="169" t="s">
        <v>437</v>
      </c>
      <c r="E19" s="170" t="s">
        <v>626</v>
      </c>
      <c r="F19" s="170" t="s">
        <v>627</v>
      </c>
      <c r="G19" s="170" t="s">
        <v>628</v>
      </c>
      <c r="H19" s="170" t="s">
        <v>629</v>
      </c>
    </row>
    <row r="20" ht="29" spans="2:8">
      <c r="B20" s="171"/>
      <c r="C20" s="166" t="s">
        <v>630</v>
      </c>
      <c r="D20" s="166" t="s">
        <v>437</v>
      </c>
      <c r="E20" s="166" t="s">
        <v>631</v>
      </c>
      <c r="F20" s="166" t="s">
        <v>632</v>
      </c>
      <c r="G20" s="166" t="s">
        <v>633</v>
      </c>
      <c r="H20" s="166" t="s">
        <v>634</v>
      </c>
    </row>
    <row r="21" ht="29" spans="2:8">
      <c r="B21" s="171"/>
      <c r="C21" s="166"/>
      <c r="D21" s="166"/>
      <c r="E21" s="167"/>
      <c r="F21" s="167"/>
      <c r="G21" s="166" t="s">
        <v>635</v>
      </c>
      <c r="H21" s="167"/>
    </row>
    <row r="22" ht="43.5" spans="2:8">
      <c r="B22" s="171"/>
      <c r="C22" s="166" t="s">
        <v>636</v>
      </c>
      <c r="D22" s="166" t="s">
        <v>437</v>
      </c>
      <c r="E22" s="172" t="s">
        <v>637</v>
      </c>
      <c r="F22" s="172" t="s">
        <v>638</v>
      </c>
      <c r="G22" s="172" t="s">
        <v>639</v>
      </c>
      <c r="H22" s="172" t="s">
        <v>640</v>
      </c>
    </row>
    <row r="23" ht="29" spans="2:8">
      <c r="B23" s="171"/>
      <c r="C23" s="166" t="s">
        <v>641</v>
      </c>
      <c r="D23" s="166" t="s">
        <v>437</v>
      </c>
      <c r="E23" s="166" t="s">
        <v>642</v>
      </c>
      <c r="F23" s="166" t="s">
        <v>643</v>
      </c>
      <c r="G23" s="166" t="s">
        <v>644</v>
      </c>
      <c r="H23" s="166" t="s">
        <v>645</v>
      </c>
    </row>
    <row r="24" ht="29" spans="2:8">
      <c r="B24" s="171"/>
      <c r="C24" s="166"/>
      <c r="D24" s="166"/>
      <c r="E24" s="166" t="s">
        <v>646</v>
      </c>
      <c r="F24" s="166" t="s">
        <v>647</v>
      </c>
      <c r="G24" s="166" t="s">
        <v>648</v>
      </c>
      <c r="H24" s="172" t="s">
        <v>649</v>
      </c>
    </row>
    <row r="25" spans="2:8">
      <c r="B25" s="171"/>
      <c r="C25" s="166"/>
      <c r="D25" s="166"/>
      <c r="E25" s="173" t="s">
        <v>650</v>
      </c>
      <c r="F25" s="174" t="s">
        <v>651</v>
      </c>
      <c r="G25" s="175" t="s">
        <v>652</v>
      </c>
      <c r="H25" s="176" t="s">
        <v>649</v>
      </c>
    </row>
    <row r="26" spans="2:8">
      <c r="B26" s="171"/>
      <c r="C26" s="166"/>
      <c r="D26" s="166"/>
      <c r="E26" s="177"/>
      <c r="F26" s="178"/>
      <c r="G26" s="179"/>
      <c r="H26" s="180"/>
    </row>
    <row r="27" ht="29" spans="2:8">
      <c r="B27" s="171"/>
      <c r="C27" s="181" t="s">
        <v>653</v>
      </c>
      <c r="D27" s="181" t="s">
        <v>437</v>
      </c>
      <c r="E27" s="166" t="s">
        <v>654</v>
      </c>
      <c r="F27" s="166" t="s">
        <v>655</v>
      </c>
      <c r="G27" s="166" t="s">
        <v>656</v>
      </c>
      <c r="H27" s="166" t="s">
        <v>657</v>
      </c>
    </row>
    <row r="28" ht="43.5" spans="2:8">
      <c r="B28" s="182"/>
      <c r="C28" s="183"/>
      <c r="D28" s="183"/>
      <c r="E28" s="172" t="s">
        <v>658</v>
      </c>
      <c r="F28" s="172" t="s">
        <v>659</v>
      </c>
      <c r="G28" s="172" t="s">
        <v>660</v>
      </c>
      <c r="H28" s="172" t="s">
        <v>661</v>
      </c>
    </row>
  </sheetData>
  <mergeCells count="27">
    <mergeCell ref="A1:G1"/>
    <mergeCell ref="A2:G2"/>
    <mergeCell ref="B13:H13"/>
    <mergeCell ref="B14:H14"/>
    <mergeCell ref="A4:A7"/>
    <mergeCell ref="A9:A12"/>
    <mergeCell ref="B4:B6"/>
    <mergeCell ref="B9:B12"/>
    <mergeCell ref="B19:B28"/>
    <mergeCell ref="C4:C6"/>
    <mergeCell ref="C9:C11"/>
    <mergeCell ref="C16:C18"/>
    <mergeCell ref="C20:C21"/>
    <mergeCell ref="C23:C26"/>
    <mergeCell ref="C27:C28"/>
    <mergeCell ref="D16:D18"/>
    <mergeCell ref="D20:D21"/>
    <mergeCell ref="D23:D26"/>
    <mergeCell ref="D27:D28"/>
    <mergeCell ref="E5:E6"/>
    <mergeCell ref="E25:E26"/>
    <mergeCell ref="F5:F6"/>
    <mergeCell ref="F25:F26"/>
    <mergeCell ref="G4:G6"/>
    <mergeCell ref="G25:G26"/>
    <mergeCell ref="H1:H12"/>
    <mergeCell ref="H25:H26"/>
  </mergeCells>
  <conditionalFormatting sqref="D7:F7">
    <cfRule type="containsText" dxfId="3" priority="16" operator="between" text="教材">
      <formula>NOT(ISERROR(SEARCH("教材",D7)))</formula>
    </cfRule>
    <cfRule type="containsText" dxfId="5" priority="15" operator="between" text="预设班">
      <formula>NOT(ISERROR(SEARCH("预设班",D7)))</formula>
    </cfRule>
    <cfRule type="containsText" dxfId="4" priority="14" operator="between" text="未审核">
      <formula>NOT(ISERROR(SEARCH("未审核",D7)))</formula>
    </cfRule>
    <cfRule type="containsText" dxfId="0" priority="13" operator="between" text="!">
      <formula>NOT(ISERROR(SEARCH("!",D7)))</formula>
    </cfRule>
  </conditionalFormatting>
  <conditionalFormatting sqref="G7">
    <cfRule type="containsText" dxfId="3" priority="24" operator="between" text="教材">
      <formula>NOT(ISERROR(SEARCH("教材",G7)))</formula>
    </cfRule>
    <cfRule type="containsText" dxfId="5" priority="23" operator="between" text="预设班">
      <formula>NOT(ISERROR(SEARCH("预设班",G7)))</formula>
    </cfRule>
    <cfRule type="containsText" dxfId="4" priority="22" operator="between" text="未审核">
      <formula>NOT(ISERROR(SEARCH("未审核",G7)))</formula>
    </cfRule>
    <cfRule type="containsText" dxfId="0" priority="21" operator="between" text="!">
      <formula>NOT(ISERROR(SEARCH("!",G7)))</formula>
    </cfRule>
  </conditionalFormatting>
  <conditionalFormatting sqref="D4:E4 E5:F5 D6">
    <cfRule type="containsText" dxfId="3" priority="20" operator="between" text="教材">
      <formula>NOT(ISERROR(SEARCH("教材",D4)))</formula>
    </cfRule>
    <cfRule type="containsText" dxfId="5" priority="19" operator="between" text="预设班">
      <formula>NOT(ISERROR(SEARCH("预设班",D4)))</formula>
    </cfRule>
    <cfRule type="containsText" dxfId="4" priority="18" operator="between" text="未审核">
      <formula>NOT(ISERROR(SEARCH("未审核",D4)))</formula>
    </cfRule>
    <cfRule type="containsText" dxfId="0" priority="17" operator="between" text="!">
      <formula>NOT(ISERROR(SEARCH("!",D4)))</formula>
    </cfRule>
  </conditionalFormatting>
  <conditionalFormatting sqref="D9:G12">
    <cfRule type="containsText" dxfId="3" priority="4" operator="between" text="教材">
      <formula>NOT(ISERROR(SEARCH("教材",D9)))</formula>
    </cfRule>
    <cfRule type="containsText" dxfId="5" priority="3" operator="between" text="预设班">
      <formula>NOT(ISERROR(SEARCH("预设班",D9)))</formula>
    </cfRule>
    <cfRule type="containsText" dxfId="4" priority="2" operator="between" text="未审核">
      <formula>NOT(ISERROR(SEARCH("未审核",D9)))</formula>
    </cfRule>
    <cfRule type="containsText" dxfId="0" priority="1" operator="between" text="!">
      <formula>NOT(ISERROR(SEARCH("!",D9)))</formula>
    </cfRule>
  </conditionalFormatting>
  <pageMargins left="0.75" right="0.75" top="1" bottom="1" header="0.5" footer="0.5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F12" sqref="F12"/>
    </sheetView>
  </sheetViews>
  <sheetFormatPr defaultColWidth="8.88181818181818" defaultRowHeight="14" outlineLevelRow="5" outlineLevelCol="6"/>
  <cols>
    <col min="4" max="4" width="12.5545454545455" customWidth="1"/>
    <col min="5" max="5" width="13.1181818181818" customWidth="1"/>
    <col min="6" max="6" width="14" customWidth="1"/>
    <col min="7" max="7" width="14.6636363636364" customWidth="1"/>
  </cols>
  <sheetData>
    <row r="1" ht="20" spans="1:7">
      <c r="A1" s="118" t="s">
        <v>662</v>
      </c>
      <c r="B1" s="118"/>
      <c r="C1" s="118"/>
      <c r="D1" s="118"/>
      <c r="E1" s="118"/>
      <c r="F1" s="118"/>
      <c r="G1" s="119" t="str">
        <f>_xlfn.DISPIMG("ID_4581140CE7BD4BC9B4570E26F65AC3DF",1)</f>
        <v>=DISPIMG("ID_4581140CE7BD4BC9B4570E26F65AC3DF",1)</v>
      </c>
    </row>
    <row r="2" ht="51" customHeight="1" spans="1:7">
      <c r="A2" s="101" t="s">
        <v>663</v>
      </c>
      <c r="B2" s="102"/>
      <c r="C2" s="102"/>
      <c r="D2" s="102"/>
      <c r="E2" s="102"/>
      <c r="F2" s="103"/>
      <c r="G2" s="120"/>
    </row>
    <row r="3" ht="16.5" spans="1:7">
      <c r="A3" s="121" t="s">
        <v>77</v>
      </c>
      <c r="B3" s="122" t="s">
        <v>3</v>
      </c>
      <c r="C3" s="123" t="s">
        <v>54</v>
      </c>
      <c r="D3" s="124" t="s">
        <v>6</v>
      </c>
      <c r="E3" s="124" t="s">
        <v>7</v>
      </c>
      <c r="F3" s="124" t="s">
        <v>242</v>
      </c>
      <c r="G3" s="125" t="s">
        <v>243</v>
      </c>
    </row>
    <row r="4" ht="60" customHeight="1" spans="1:7">
      <c r="A4" s="126"/>
      <c r="B4" s="127" t="s">
        <v>586</v>
      </c>
      <c r="C4" s="128" t="s">
        <v>664</v>
      </c>
      <c r="D4" s="18"/>
      <c r="E4" s="18"/>
      <c r="F4" s="129" t="s">
        <v>665</v>
      </c>
      <c r="G4" s="18" t="s">
        <v>666</v>
      </c>
    </row>
    <row r="5" ht="16.5" spans="1:7">
      <c r="A5" s="126"/>
      <c r="B5" s="122" t="s">
        <v>3</v>
      </c>
      <c r="C5" s="123" t="s">
        <v>54</v>
      </c>
      <c r="D5" s="124" t="s">
        <v>6</v>
      </c>
      <c r="E5" s="124" t="s">
        <v>7</v>
      </c>
      <c r="F5" s="124" t="s">
        <v>242</v>
      </c>
      <c r="G5" s="125" t="s">
        <v>243</v>
      </c>
    </row>
    <row r="6" ht="66" customHeight="1" spans="1:7">
      <c r="A6" s="126"/>
      <c r="B6" s="130" t="s">
        <v>258</v>
      </c>
      <c r="C6" s="131" t="s">
        <v>550</v>
      </c>
      <c r="D6" s="18"/>
      <c r="E6" s="18"/>
      <c r="F6" s="32" t="s">
        <v>667</v>
      </c>
      <c r="G6" s="18" t="s">
        <v>668</v>
      </c>
    </row>
  </sheetData>
  <mergeCells count="4">
    <mergeCell ref="A1:F1"/>
    <mergeCell ref="A2:F2"/>
    <mergeCell ref="A3:A6"/>
    <mergeCell ref="G1:G2"/>
  </mergeCells>
  <conditionalFormatting sqref="D3:G3">
    <cfRule type="containsText" dxfId="0" priority="5" operator="between" text="!">
      <formula>NOT(ISERROR(SEARCH("!",D3)))</formula>
    </cfRule>
    <cfRule type="containsText" dxfId="1" priority="6" operator="between" text="未审核">
      <formula>NOT(ISERROR(SEARCH("未审核",D3)))</formula>
    </cfRule>
    <cfRule type="containsText" dxfId="2" priority="7" operator="between" text="预设班">
      <formula>NOT(ISERROR(SEARCH("预设班",D3)))</formula>
    </cfRule>
    <cfRule type="containsText" dxfId="3" priority="8" operator="between" text="教材">
      <formula>NOT(ISERROR(SEARCH("教材",D3)))</formula>
    </cfRule>
  </conditionalFormatting>
  <conditionalFormatting sqref="D5:G5">
    <cfRule type="containsText" dxfId="3" priority="4" operator="between" text="教材">
      <formula>NOT(ISERROR(SEARCH("教材",D5)))</formula>
    </cfRule>
    <cfRule type="containsText" dxfId="2" priority="3" operator="between" text="预设班">
      <formula>NOT(ISERROR(SEARCH("预设班",D5)))</formula>
    </cfRule>
    <cfRule type="containsText" dxfId="1" priority="2" operator="between" text="未审核">
      <formula>NOT(ISERROR(SEARCH("未审核",D5)))</formula>
    </cfRule>
    <cfRule type="containsText" dxfId="0" priority="1" operator="between" text="!">
      <formula>NOT(ISERROR(SEARCH("!",D5)))</formula>
    </cfRule>
  </conditionalFormatting>
  <pageMargins left="0.75" right="0.75" top="1" bottom="1" header="0.5" footer="0.5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workbookViewId="0">
      <selection activeCell="K13" sqref="K13:R13"/>
    </sheetView>
  </sheetViews>
  <sheetFormatPr defaultColWidth="8.88181818181818" defaultRowHeight="14" outlineLevelRow="5"/>
  <cols>
    <col min="4" max="4" width="12.5545454545455" customWidth="1"/>
    <col min="5" max="5" width="11.6636363636364" customWidth="1"/>
    <col min="6" max="6" width="12.1181818181818" customWidth="1"/>
    <col min="7" max="7" width="12.4454545454545" customWidth="1"/>
    <col min="13" max="13" width="11.3363636363636" customWidth="1"/>
    <col min="14" max="14" width="12.1181818181818" customWidth="1"/>
    <col min="15" max="15" width="12.6636363636364" customWidth="1"/>
    <col min="16" max="16" width="11.8818181818182" customWidth="1"/>
  </cols>
  <sheetData>
    <row r="1" ht="20" spans="1:16">
      <c r="A1" s="98" t="s">
        <v>669</v>
      </c>
      <c r="B1" s="98"/>
      <c r="C1" s="98"/>
      <c r="D1" s="98"/>
      <c r="E1" s="98"/>
      <c r="F1" s="98"/>
      <c r="G1" s="99" t="str">
        <f>_xlfn.DISPIMG("ID_3250841866864EFDAD7F3EA655907C5D",1)</f>
        <v>=DISPIMG("ID_3250841866864EFDAD7F3EA655907C5D",1)</v>
      </c>
      <c r="H1" s="100"/>
      <c r="J1" s="98" t="s">
        <v>670</v>
      </c>
      <c r="K1" s="98"/>
      <c r="L1" s="98"/>
      <c r="M1" s="98"/>
      <c r="N1" s="98"/>
      <c r="O1" s="98"/>
      <c r="P1" s="99" t="str">
        <f>_xlfn.DISPIMG("ID_E8795C3207F04CF08A375C9E5F18622A",1)</f>
        <v>=DISPIMG("ID_E8795C3207F04CF08A375C9E5F18622A",1)</v>
      </c>
    </row>
    <row r="2" ht="40" customHeight="1" spans="1:16">
      <c r="A2" s="101" t="s">
        <v>538</v>
      </c>
      <c r="B2" s="102"/>
      <c r="C2" s="102"/>
      <c r="D2" s="102"/>
      <c r="E2" s="102"/>
      <c r="F2" s="103"/>
      <c r="G2" s="104"/>
      <c r="H2" s="105"/>
      <c r="J2" s="101" t="s">
        <v>538</v>
      </c>
      <c r="K2" s="102"/>
      <c r="L2" s="102"/>
      <c r="M2" s="102"/>
      <c r="N2" s="102"/>
      <c r="O2" s="103"/>
      <c r="P2" s="104"/>
    </row>
    <row r="3" ht="16.5" spans="1:16">
      <c r="A3" s="106" t="s">
        <v>77</v>
      </c>
      <c r="B3" s="107" t="s">
        <v>3</v>
      </c>
      <c r="C3" s="108" t="s">
        <v>54</v>
      </c>
      <c r="D3" s="109" t="s">
        <v>6</v>
      </c>
      <c r="E3" s="109" t="s">
        <v>7</v>
      </c>
      <c r="F3" s="109" t="s">
        <v>242</v>
      </c>
      <c r="G3" s="110" t="s">
        <v>243</v>
      </c>
      <c r="H3" s="111"/>
      <c r="J3" s="106" t="s">
        <v>55</v>
      </c>
      <c r="K3" s="107" t="s">
        <v>3</v>
      </c>
      <c r="L3" s="108" t="s">
        <v>54</v>
      </c>
      <c r="M3" s="109" t="s">
        <v>6</v>
      </c>
      <c r="N3" s="109" t="s">
        <v>7</v>
      </c>
      <c r="O3" s="109" t="s">
        <v>242</v>
      </c>
      <c r="P3" s="110" t="s">
        <v>243</v>
      </c>
    </row>
    <row r="4" ht="48" customHeight="1" spans="1:16">
      <c r="A4" s="112"/>
      <c r="B4" s="113" t="s">
        <v>586</v>
      </c>
      <c r="C4" s="114" t="s">
        <v>671</v>
      </c>
      <c r="E4" s="115"/>
      <c r="F4" s="32" t="s">
        <v>672</v>
      </c>
      <c r="G4" s="32" t="s">
        <v>673</v>
      </c>
      <c r="H4" s="116"/>
      <c r="J4" s="112"/>
      <c r="K4" s="113" t="s">
        <v>586</v>
      </c>
      <c r="L4" s="114" t="s">
        <v>671</v>
      </c>
      <c r="N4" s="115"/>
      <c r="O4" s="32" t="s">
        <v>674</v>
      </c>
      <c r="P4" s="32" t="s">
        <v>675</v>
      </c>
    </row>
    <row r="5" ht="16.5" spans="1:16">
      <c r="A5" s="112"/>
      <c r="B5" s="107" t="s">
        <v>3</v>
      </c>
      <c r="C5" s="108" t="s">
        <v>54</v>
      </c>
      <c r="D5" s="109" t="s">
        <v>6</v>
      </c>
      <c r="E5" s="109" t="s">
        <v>7</v>
      </c>
      <c r="F5" s="109" t="s">
        <v>242</v>
      </c>
      <c r="G5" s="110" t="s">
        <v>243</v>
      </c>
      <c r="J5" s="112"/>
      <c r="K5" s="107" t="s">
        <v>3</v>
      </c>
      <c r="L5" s="108" t="s">
        <v>54</v>
      </c>
      <c r="M5" s="109" t="s">
        <v>6</v>
      </c>
      <c r="N5" s="109" t="s">
        <v>7</v>
      </c>
      <c r="O5" s="109" t="s">
        <v>242</v>
      </c>
      <c r="P5" s="110" t="s">
        <v>243</v>
      </c>
    </row>
    <row r="6" ht="48" customHeight="1" spans="1:16">
      <c r="A6" s="112"/>
      <c r="B6" s="110" t="s">
        <v>258</v>
      </c>
      <c r="C6" s="117" t="s">
        <v>600</v>
      </c>
      <c r="D6" s="32"/>
      <c r="E6" s="32"/>
      <c r="F6" s="32" t="s">
        <v>676</v>
      </c>
      <c r="G6" s="32" t="s">
        <v>677</v>
      </c>
      <c r="J6" s="112"/>
      <c r="K6" s="110" t="s">
        <v>258</v>
      </c>
      <c r="L6" s="117" t="s">
        <v>600</v>
      </c>
      <c r="M6" s="32"/>
      <c r="N6" s="32"/>
      <c r="O6" s="32" t="s">
        <v>678</v>
      </c>
      <c r="P6" s="32" t="s">
        <v>679</v>
      </c>
    </row>
  </sheetData>
  <mergeCells count="9">
    <mergeCell ref="A1:F1"/>
    <mergeCell ref="J1:O1"/>
    <mergeCell ref="A2:F2"/>
    <mergeCell ref="J2:O2"/>
    <mergeCell ref="A3:A6"/>
    <mergeCell ref="G1:G2"/>
    <mergeCell ref="H1:H2"/>
    <mergeCell ref="J3:J6"/>
    <mergeCell ref="P1:P2"/>
  </mergeCells>
  <conditionalFormatting sqref="D3:H3">
    <cfRule type="containsText" dxfId="3" priority="32" operator="between" text="教材">
      <formula>NOT(ISERROR(SEARCH("教材",D3)))</formula>
    </cfRule>
    <cfRule type="containsText" dxfId="2" priority="31" operator="between" text="预设班">
      <formula>NOT(ISERROR(SEARCH("预设班",D3)))</formula>
    </cfRule>
    <cfRule type="containsText" dxfId="1" priority="30" operator="between" text="未审核">
      <formula>NOT(ISERROR(SEARCH("未审核",D3)))</formula>
    </cfRule>
    <cfRule type="containsText" dxfId="0" priority="29" operator="between" text="!">
      <formula>NOT(ISERROR(SEARCH("!",D3)))</formula>
    </cfRule>
  </conditionalFormatting>
  <conditionalFormatting sqref="M3:P3">
    <cfRule type="containsText" dxfId="3" priority="16" operator="between" text="教材">
      <formula>NOT(ISERROR(SEARCH("教材",M3)))</formula>
    </cfRule>
    <cfRule type="containsText" dxfId="2" priority="15" operator="between" text="预设班">
      <formula>NOT(ISERROR(SEARCH("预设班",M3)))</formula>
    </cfRule>
    <cfRule type="containsText" dxfId="1" priority="14" operator="between" text="未审核">
      <formula>NOT(ISERROR(SEARCH("未审核",M3)))</formula>
    </cfRule>
    <cfRule type="containsText" dxfId="0" priority="13" operator="between" text="!">
      <formula>NOT(ISERROR(SEARCH("!",M3)))</formula>
    </cfRule>
  </conditionalFormatting>
  <conditionalFormatting sqref="C4">
    <cfRule type="containsText" dxfId="3" priority="20" operator="between" text="教材">
      <formula>NOT(ISERROR(SEARCH("教材",C4)))</formula>
    </cfRule>
    <cfRule type="containsText" dxfId="2" priority="19" operator="between" text="预设班">
      <formula>NOT(ISERROR(SEARCH("预设班",C4)))</formula>
    </cfRule>
    <cfRule type="containsText" dxfId="1" priority="18" operator="between" text="未审核">
      <formula>NOT(ISERROR(SEARCH("未审核",C4)))</formula>
    </cfRule>
    <cfRule type="containsText" dxfId="0" priority="17" operator="between" text="!">
      <formula>NOT(ISERROR(SEARCH("!",C4)))</formula>
    </cfRule>
  </conditionalFormatting>
  <conditionalFormatting sqref="L4">
    <cfRule type="containsText" dxfId="3" priority="4" operator="between" text="教材">
      <formula>NOT(ISERROR(SEARCH("教材",L4)))</formula>
    </cfRule>
    <cfRule type="containsText" dxfId="2" priority="3" operator="between" text="预设班">
      <formula>NOT(ISERROR(SEARCH("预设班",L4)))</formula>
    </cfRule>
    <cfRule type="containsText" dxfId="1" priority="2" operator="between" text="未审核">
      <formula>NOT(ISERROR(SEARCH("未审核",L4)))</formula>
    </cfRule>
    <cfRule type="containsText" dxfId="0" priority="1" operator="between" text="!">
      <formula>NOT(ISERROR(SEARCH("!",L4)))</formula>
    </cfRule>
  </conditionalFormatting>
  <conditionalFormatting sqref="D5:G5">
    <cfRule type="containsText" dxfId="3" priority="24" operator="between" text="教材">
      <formula>NOT(ISERROR(SEARCH("教材",D5)))</formula>
    </cfRule>
    <cfRule type="containsText" dxfId="2" priority="23" operator="between" text="预设班">
      <formula>NOT(ISERROR(SEARCH("预设班",D5)))</formula>
    </cfRule>
    <cfRule type="containsText" dxfId="1" priority="22" operator="between" text="未审核">
      <formula>NOT(ISERROR(SEARCH("未审核",D5)))</formula>
    </cfRule>
    <cfRule type="containsText" dxfId="0" priority="21" operator="between" text="!">
      <formula>NOT(ISERROR(SEARCH("!",D5)))</formula>
    </cfRule>
  </conditionalFormatting>
  <conditionalFormatting sqref="M5:P5">
    <cfRule type="containsText" dxfId="3" priority="8" operator="between" text="教材">
      <formula>NOT(ISERROR(SEARCH("教材",M5)))</formula>
    </cfRule>
    <cfRule type="containsText" dxfId="2" priority="7" operator="between" text="预设班">
      <formula>NOT(ISERROR(SEARCH("预设班",M5)))</formula>
    </cfRule>
    <cfRule type="containsText" dxfId="1" priority="6" operator="between" text="未审核">
      <formula>NOT(ISERROR(SEARCH("未审核",M5)))</formula>
    </cfRule>
    <cfRule type="containsText" dxfId="0" priority="5" operator="between" text="!">
      <formula>NOT(ISERROR(SEARCH("!",M5)))</formula>
    </cfRule>
  </conditionalFormatting>
  <conditionalFormatting sqref="C6">
    <cfRule type="containsText" dxfId="3" priority="28" operator="between" text="教材">
      <formula>NOT(ISERROR(SEARCH("教材",C6)))</formula>
    </cfRule>
    <cfRule type="containsText" dxfId="2" priority="27" operator="between" text="预设班">
      <formula>NOT(ISERROR(SEARCH("预设班",C6)))</formula>
    </cfRule>
    <cfRule type="containsText" dxfId="1" priority="26" operator="between" text="未审核">
      <formula>NOT(ISERROR(SEARCH("未审核",C6)))</formula>
    </cfRule>
    <cfRule type="containsText" dxfId="0" priority="25" operator="between" text="!">
      <formula>NOT(ISERROR(SEARCH("!",C6)))</formula>
    </cfRule>
  </conditionalFormatting>
  <conditionalFormatting sqref="L6">
    <cfRule type="containsText" dxfId="3" priority="12" operator="between" text="教材">
      <formula>NOT(ISERROR(SEARCH("教材",L6)))</formula>
    </cfRule>
    <cfRule type="containsText" dxfId="2" priority="11" operator="between" text="预设班">
      <formula>NOT(ISERROR(SEARCH("预设班",L6)))</formula>
    </cfRule>
    <cfRule type="containsText" dxfId="1" priority="10" operator="between" text="未审核">
      <formula>NOT(ISERROR(SEARCH("未审核",L6)))</formula>
    </cfRule>
    <cfRule type="containsText" dxfId="0" priority="9" operator="between" text="!">
      <formula>NOT(ISERROR(SEARCH("!",L6)))</formula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9"/>
  <sheetViews>
    <sheetView zoomScale="70" zoomScaleNormal="70" topLeftCell="A6" workbookViewId="0">
      <selection activeCell="F11" sqref="F11:G11"/>
    </sheetView>
  </sheetViews>
  <sheetFormatPr defaultColWidth="8.88181818181818" defaultRowHeight="14"/>
  <cols>
    <col min="4" max="4" width="14.2545454545455" customWidth="1"/>
    <col min="5" max="5" width="15.2181818181818" customWidth="1"/>
    <col min="6" max="6" width="15" customWidth="1"/>
    <col min="7" max="7" width="15.6636363636364" customWidth="1"/>
    <col min="8" max="8" width="18.8818181818182" customWidth="1"/>
    <col min="20" max="20" width="14.2545454545455" customWidth="1"/>
    <col min="21" max="21" width="15.2181818181818" customWidth="1"/>
    <col min="22" max="22" width="15" customWidth="1"/>
    <col min="23" max="23" width="15.6636363636364" customWidth="1"/>
    <col min="24" max="24" width="18.8818181818182" customWidth="1"/>
  </cols>
  <sheetData>
    <row r="1" ht="76" customHeight="1" spans="1:24">
      <c r="A1" s="1" t="s">
        <v>680</v>
      </c>
      <c r="B1" s="1"/>
      <c r="C1" s="1"/>
      <c r="D1" s="1"/>
      <c r="E1" s="1"/>
      <c r="F1" s="1"/>
      <c r="G1" s="1"/>
      <c r="H1" s="2"/>
      <c r="Q1" s="1" t="s">
        <v>680</v>
      </c>
      <c r="R1" s="1"/>
      <c r="S1" s="1"/>
      <c r="T1" s="1"/>
      <c r="U1" s="1"/>
      <c r="V1" s="1"/>
      <c r="W1" s="1"/>
      <c r="X1" s="2"/>
    </row>
    <row r="2" ht="16.5" spans="1:24">
      <c r="A2" s="3" t="s">
        <v>53</v>
      </c>
      <c r="B2" s="4" t="s">
        <v>3</v>
      </c>
      <c r="C2" s="5" t="s">
        <v>54</v>
      </c>
      <c r="D2" s="6" t="s">
        <v>6</v>
      </c>
      <c r="E2" s="6" t="s">
        <v>7</v>
      </c>
      <c r="F2" s="6" t="s">
        <v>242</v>
      </c>
      <c r="G2" s="7" t="s">
        <v>243</v>
      </c>
      <c r="H2" s="8" t="s">
        <v>10</v>
      </c>
      <c r="Q2" s="3" t="s">
        <v>53</v>
      </c>
      <c r="R2" s="4" t="s">
        <v>3</v>
      </c>
      <c r="S2" s="5" t="s">
        <v>54</v>
      </c>
      <c r="T2" s="6" t="s">
        <v>6</v>
      </c>
      <c r="U2" s="6" t="s">
        <v>7</v>
      </c>
      <c r="V2" s="6" t="s">
        <v>242</v>
      </c>
      <c r="W2" s="7" t="s">
        <v>243</v>
      </c>
      <c r="X2" s="8" t="s">
        <v>10</v>
      </c>
    </row>
    <row r="3" ht="76" customHeight="1" spans="1:24">
      <c r="A3" s="9" t="s">
        <v>681</v>
      </c>
      <c r="B3" s="10" t="s">
        <v>376</v>
      </c>
      <c r="C3" s="11" t="s">
        <v>682</v>
      </c>
      <c r="D3" s="17" t="s">
        <v>683</v>
      </c>
      <c r="E3" s="12" t="s">
        <v>684</v>
      </c>
      <c r="F3" s="12" t="s">
        <v>685</v>
      </c>
      <c r="G3" s="13" t="s">
        <v>686</v>
      </c>
      <c r="H3" s="14"/>
      <c r="Q3" s="9" t="s">
        <v>681</v>
      </c>
      <c r="R3" s="10" t="s">
        <v>376</v>
      </c>
      <c r="S3" s="11" t="s">
        <v>687</v>
      </c>
      <c r="T3" s="86" t="s">
        <v>688</v>
      </c>
      <c r="U3" s="86" t="s">
        <v>684</v>
      </c>
      <c r="V3" s="73" t="s">
        <v>685</v>
      </c>
      <c r="W3" s="73" t="s">
        <v>689</v>
      </c>
      <c r="X3" s="14"/>
    </row>
    <row r="4" ht="62" customHeight="1" spans="1:24">
      <c r="A4" s="3"/>
      <c r="B4" s="10"/>
      <c r="C4" s="15"/>
      <c r="D4" s="16"/>
      <c r="E4" s="87" t="s">
        <v>690</v>
      </c>
      <c r="F4" s="18" t="s">
        <v>691</v>
      </c>
      <c r="G4" s="17" t="s">
        <v>692</v>
      </c>
      <c r="H4" s="18"/>
      <c r="K4" t="s">
        <v>693</v>
      </c>
      <c r="Q4" s="3"/>
      <c r="R4" s="10"/>
      <c r="S4" s="15"/>
      <c r="T4" s="16"/>
      <c r="U4" s="18" t="s">
        <v>694</v>
      </c>
      <c r="V4" s="16" t="s">
        <v>695</v>
      </c>
      <c r="W4" s="18" t="s">
        <v>696</v>
      </c>
      <c r="X4" s="18"/>
    </row>
    <row r="5" ht="66" customHeight="1" spans="1:24">
      <c r="A5" s="3"/>
      <c r="B5" s="10"/>
      <c r="C5" s="15"/>
      <c r="D5" s="18"/>
      <c r="E5" s="16"/>
      <c r="F5" s="17" t="s">
        <v>697</v>
      </c>
      <c r="G5" s="16" t="s">
        <v>698</v>
      </c>
      <c r="H5" s="16"/>
      <c r="Q5" s="3"/>
      <c r="R5" s="10"/>
      <c r="S5" s="15"/>
      <c r="T5" s="18"/>
      <c r="U5" s="16" t="s">
        <v>699</v>
      </c>
      <c r="V5" s="16" t="s">
        <v>700</v>
      </c>
      <c r="W5" s="18" t="s">
        <v>698</v>
      </c>
      <c r="X5" s="18"/>
    </row>
    <row r="6" ht="62" customHeight="1" spans="1:24">
      <c r="A6" s="3"/>
      <c r="B6" s="10"/>
      <c r="C6" s="19"/>
      <c r="D6" s="20"/>
      <c r="E6" s="35" t="s">
        <v>701</v>
      </c>
      <c r="F6" s="17" t="s">
        <v>702</v>
      </c>
      <c r="G6" s="35" t="s">
        <v>703</v>
      </c>
      <c r="H6" s="18"/>
      <c r="Q6" s="3"/>
      <c r="R6" s="10"/>
      <c r="S6" s="19"/>
      <c r="T6" s="20"/>
      <c r="U6" s="21" t="s">
        <v>704</v>
      </c>
      <c r="V6" s="21" t="s">
        <v>705</v>
      </c>
      <c r="W6" s="21" t="s">
        <v>706</v>
      </c>
      <c r="X6" s="18"/>
    </row>
    <row r="7" ht="61" customHeight="1" spans="1:24">
      <c r="A7" s="3"/>
      <c r="B7" s="22" t="s">
        <v>388</v>
      </c>
      <c r="C7" s="23" t="s">
        <v>707</v>
      </c>
      <c r="D7" s="16" t="s">
        <v>708</v>
      </c>
      <c r="E7" s="16" t="s">
        <v>709</v>
      </c>
      <c r="F7" s="16" t="s">
        <v>710</v>
      </c>
      <c r="G7" s="24"/>
      <c r="H7" s="88"/>
      <c r="Q7" s="3"/>
      <c r="R7" s="22" t="s">
        <v>388</v>
      </c>
      <c r="S7" s="23" t="s">
        <v>711</v>
      </c>
      <c r="T7" s="18" t="s">
        <v>708</v>
      </c>
      <c r="U7" s="16" t="s">
        <v>712</v>
      </c>
      <c r="V7" s="89" t="s">
        <v>713</v>
      </c>
      <c r="W7" s="24"/>
      <c r="X7" s="25"/>
    </row>
    <row r="8" ht="52" customHeight="1" spans="1:24">
      <c r="A8" s="3"/>
      <c r="B8" s="26"/>
      <c r="C8" s="27"/>
      <c r="D8" s="16"/>
      <c r="E8" s="16"/>
      <c r="F8" s="16" t="s">
        <v>714</v>
      </c>
      <c r="G8" s="20"/>
      <c r="H8" s="90"/>
      <c r="Q8" s="3"/>
      <c r="R8" s="26"/>
      <c r="S8" s="27"/>
      <c r="T8" s="18"/>
      <c r="U8" s="28"/>
      <c r="V8" s="16" t="s">
        <v>715</v>
      </c>
      <c r="W8" s="20"/>
      <c r="X8" s="29"/>
    </row>
    <row r="9" ht="59" customHeight="1" spans="1:24">
      <c r="A9" s="3"/>
      <c r="B9" s="30" t="s">
        <v>716</v>
      </c>
      <c r="C9" s="31" t="s">
        <v>717</v>
      </c>
      <c r="D9" s="12" t="s">
        <v>699</v>
      </c>
      <c r="E9" s="32" t="s">
        <v>718</v>
      </c>
      <c r="F9" s="32" t="s">
        <v>719</v>
      </c>
      <c r="G9" s="16" t="s">
        <v>720</v>
      </c>
      <c r="H9" s="90"/>
      <c r="Q9" s="3"/>
      <c r="R9" s="30" t="s">
        <v>716</v>
      </c>
      <c r="S9" s="31" t="s">
        <v>721</v>
      </c>
      <c r="T9" s="18"/>
      <c r="U9" s="91" t="s">
        <v>722</v>
      </c>
      <c r="V9" s="18" t="s">
        <v>723</v>
      </c>
      <c r="W9" s="18" t="s">
        <v>724</v>
      </c>
      <c r="X9" s="29"/>
    </row>
    <row r="10" ht="49" customHeight="1" spans="1:24">
      <c r="A10" s="3"/>
      <c r="B10" s="30"/>
      <c r="C10" s="31"/>
      <c r="D10" s="18"/>
      <c r="E10" s="33" t="s">
        <v>725</v>
      </c>
      <c r="F10" s="33"/>
      <c r="G10" s="18"/>
      <c r="H10" s="90"/>
      <c r="Q10" s="3"/>
      <c r="R10" s="30"/>
      <c r="S10" s="31"/>
      <c r="T10" s="18"/>
      <c r="U10" s="92" t="s">
        <v>725</v>
      </c>
      <c r="V10" s="33"/>
      <c r="W10" s="18"/>
      <c r="X10" s="29"/>
    </row>
    <row r="11" ht="59" customHeight="1" spans="1:24">
      <c r="A11" s="3"/>
      <c r="B11" s="30"/>
      <c r="C11" s="31"/>
      <c r="D11" s="34"/>
      <c r="E11" s="35" t="s">
        <v>726</v>
      </c>
      <c r="F11" s="35" t="s">
        <v>727</v>
      </c>
      <c r="G11" s="35" t="s">
        <v>728</v>
      </c>
      <c r="H11" s="93"/>
      <c r="Q11" s="3"/>
      <c r="R11" s="30"/>
      <c r="S11" s="31"/>
      <c r="T11" s="34"/>
      <c r="U11" s="94" t="s">
        <v>726</v>
      </c>
      <c r="V11" s="94" t="s">
        <v>729</v>
      </c>
      <c r="W11" s="94" t="s">
        <v>730</v>
      </c>
      <c r="X11" s="36"/>
    </row>
    <row r="12" ht="62" customHeight="1" spans="1:24">
      <c r="A12" s="3"/>
      <c r="B12" s="37" t="s">
        <v>731</v>
      </c>
      <c r="C12" s="23" t="s">
        <v>732</v>
      </c>
      <c r="D12" s="35" t="s">
        <v>733</v>
      </c>
      <c r="E12" s="35" t="s">
        <v>734</v>
      </c>
      <c r="F12" s="35" t="s">
        <v>735</v>
      </c>
      <c r="G12" s="32" t="s">
        <v>736</v>
      </c>
      <c r="H12" s="88"/>
      <c r="Q12" s="3"/>
      <c r="R12" s="37" t="s">
        <v>731</v>
      </c>
      <c r="S12" s="23" t="s">
        <v>737</v>
      </c>
      <c r="T12" s="35" t="s">
        <v>738</v>
      </c>
      <c r="U12" s="35" t="s">
        <v>739</v>
      </c>
      <c r="V12" s="35" t="s">
        <v>740</v>
      </c>
      <c r="W12" s="95" t="s">
        <v>736</v>
      </c>
      <c r="X12" s="25"/>
    </row>
    <row r="13" ht="16.5" spans="1:24">
      <c r="A13" s="39" t="s">
        <v>53</v>
      </c>
      <c r="B13" s="39" t="s">
        <v>3</v>
      </c>
      <c r="C13" s="40" t="s">
        <v>54</v>
      </c>
      <c r="D13" s="41" t="s">
        <v>6</v>
      </c>
      <c r="E13" s="41" t="s">
        <v>7</v>
      </c>
      <c r="F13" s="41" t="s">
        <v>242</v>
      </c>
      <c r="G13" s="42" t="s">
        <v>243</v>
      </c>
      <c r="H13" s="40" t="s">
        <v>10</v>
      </c>
      <c r="Q13" s="39" t="s">
        <v>53</v>
      </c>
      <c r="R13" s="39" t="s">
        <v>3</v>
      </c>
      <c r="S13" s="40" t="s">
        <v>54</v>
      </c>
      <c r="T13" s="41" t="s">
        <v>6</v>
      </c>
      <c r="U13" s="41" t="s">
        <v>7</v>
      </c>
      <c r="V13" s="41" t="s">
        <v>242</v>
      </c>
      <c r="W13" s="42" t="s">
        <v>243</v>
      </c>
      <c r="X13" s="40" t="s">
        <v>10</v>
      </c>
    </row>
    <row r="14" ht="62" customHeight="1" spans="1:24">
      <c r="A14" s="9" t="s">
        <v>681</v>
      </c>
      <c r="B14" s="43" t="s">
        <v>395</v>
      </c>
      <c r="C14" s="23" t="s">
        <v>741</v>
      </c>
      <c r="D14" s="44" t="s">
        <v>742</v>
      </c>
      <c r="E14" s="44" t="s">
        <v>743</v>
      </c>
      <c r="F14" s="44" t="s">
        <v>744</v>
      </c>
      <c r="G14" s="44" t="s">
        <v>745</v>
      </c>
      <c r="H14" s="18"/>
      <c r="Q14" s="9" t="s">
        <v>681</v>
      </c>
      <c r="R14" s="43" t="s">
        <v>23</v>
      </c>
      <c r="S14" s="23" t="s">
        <v>741</v>
      </c>
      <c r="T14" s="44" t="s">
        <v>742</v>
      </c>
      <c r="U14" s="45" t="s">
        <v>743</v>
      </c>
      <c r="V14" s="44" t="s">
        <v>744</v>
      </c>
      <c r="W14" s="44" t="s">
        <v>745</v>
      </c>
      <c r="X14" s="18"/>
    </row>
    <row r="15" ht="62" customHeight="1" spans="1:24">
      <c r="A15" s="3"/>
      <c r="B15" s="43"/>
      <c r="C15" s="31"/>
      <c r="D15" s="18" t="s">
        <v>746</v>
      </c>
      <c r="E15" s="18" t="s">
        <v>747</v>
      </c>
      <c r="F15" s="18" t="s">
        <v>748</v>
      </c>
      <c r="G15" s="18" t="s">
        <v>749</v>
      </c>
      <c r="H15" s="96" t="s">
        <v>750</v>
      </c>
      <c r="Q15" s="3"/>
      <c r="R15" s="43"/>
      <c r="S15" s="31"/>
      <c r="T15" s="18" t="s">
        <v>751</v>
      </c>
      <c r="U15" s="18" t="s">
        <v>747</v>
      </c>
      <c r="V15" s="18" t="s">
        <v>752</v>
      </c>
      <c r="W15" s="18" t="s">
        <v>753</v>
      </c>
      <c r="X15" s="97" t="s">
        <v>750</v>
      </c>
    </row>
    <row r="16" ht="64" customHeight="1" spans="1:24">
      <c r="A16" s="3"/>
      <c r="B16" s="43"/>
      <c r="C16" s="31"/>
      <c r="D16" s="46"/>
      <c r="E16" s="35" t="s">
        <v>754</v>
      </c>
      <c r="F16" s="35" t="s">
        <v>755</v>
      </c>
      <c r="G16" s="35" t="s">
        <v>756</v>
      </c>
      <c r="H16" s="21" t="s">
        <v>757</v>
      </c>
      <c r="Q16" s="3"/>
      <c r="R16" s="43"/>
      <c r="S16" s="31"/>
      <c r="T16" s="46"/>
      <c r="U16" s="21" t="s">
        <v>754</v>
      </c>
      <c r="V16" s="47" t="s">
        <v>758</v>
      </c>
      <c r="W16" s="35" t="s">
        <v>759</v>
      </c>
      <c r="X16" s="21" t="s">
        <v>757</v>
      </c>
    </row>
    <row r="17" ht="65" customHeight="1" spans="1:24">
      <c r="A17" s="3"/>
      <c r="B17" s="43"/>
      <c r="C17" s="48" t="s">
        <v>760</v>
      </c>
      <c r="D17" s="46"/>
      <c r="E17" s="18"/>
      <c r="F17" s="18" t="s">
        <v>761</v>
      </c>
      <c r="G17" s="16" t="s">
        <v>762</v>
      </c>
      <c r="H17" s="18"/>
      <c r="Q17" s="3"/>
      <c r="R17" s="43"/>
      <c r="S17" s="48" t="s">
        <v>760</v>
      </c>
      <c r="T17" s="46"/>
      <c r="U17" s="18"/>
      <c r="V17" s="18" t="s">
        <v>761</v>
      </c>
      <c r="W17" s="16" t="s">
        <v>763</v>
      </c>
      <c r="X17" s="18"/>
    </row>
    <row r="18" ht="49" customHeight="1" spans="1:24">
      <c r="A18" s="3"/>
      <c r="B18" s="43"/>
      <c r="C18" s="48"/>
      <c r="D18" s="18" t="s">
        <v>764</v>
      </c>
      <c r="E18" s="18" t="s">
        <v>765</v>
      </c>
      <c r="F18" s="18" t="s">
        <v>766</v>
      </c>
      <c r="G18" s="18" t="s">
        <v>767</v>
      </c>
      <c r="H18" s="49"/>
      <c r="Q18" s="3"/>
      <c r="R18" s="43"/>
      <c r="S18" s="48"/>
      <c r="T18" s="18"/>
      <c r="U18" s="18" t="s">
        <v>768</v>
      </c>
      <c r="V18" s="18" t="s">
        <v>766</v>
      </c>
      <c r="W18" s="18" t="s">
        <v>769</v>
      </c>
      <c r="X18" s="49"/>
    </row>
    <row r="19" ht="65" customHeight="1" spans="1:24">
      <c r="A19" s="50"/>
      <c r="B19" s="43"/>
      <c r="C19" s="48"/>
      <c r="D19" s="51"/>
      <c r="E19" s="18"/>
      <c r="F19" s="21" t="s">
        <v>770</v>
      </c>
      <c r="G19" s="21" t="s">
        <v>771</v>
      </c>
      <c r="H19" s="52"/>
      <c r="Q19" s="50"/>
      <c r="R19" s="43"/>
      <c r="S19" s="48"/>
      <c r="T19" s="51"/>
      <c r="U19" s="18"/>
      <c r="V19" s="21" t="s">
        <v>772</v>
      </c>
      <c r="W19" s="21" t="s">
        <v>773</v>
      </c>
      <c r="X19" s="52"/>
    </row>
  </sheetData>
  <mergeCells count="24">
    <mergeCell ref="A1:G1"/>
    <mergeCell ref="Q1:W1"/>
    <mergeCell ref="A3:A12"/>
    <mergeCell ref="A14:A19"/>
    <mergeCell ref="B3:B6"/>
    <mergeCell ref="B7:B8"/>
    <mergeCell ref="B9:B11"/>
    <mergeCell ref="B14:B19"/>
    <mergeCell ref="C3:C6"/>
    <mergeCell ref="C7:C8"/>
    <mergeCell ref="C9:C11"/>
    <mergeCell ref="C14:C16"/>
    <mergeCell ref="C17:C19"/>
    <mergeCell ref="Q3:Q12"/>
    <mergeCell ref="Q14:Q19"/>
    <mergeCell ref="R3:R6"/>
    <mergeCell ref="R7:R8"/>
    <mergeCell ref="R9:R11"/>
    <mergeCell ref="R14:R19"/>
    <mergeCell ref="S3:S6"/>
    <mergeCell ref="S7:S8"/>
    <mergeCell ref="S9:S11"/>
    <mergeCell ref="S14:S16"/>
    <mergeCell ref="S17:S19"/>
  </mergeCells>
  <conditionalFormatting sqref="D3">
    <cfRule type="containsText" dxfId="3" priority="24" operator="between" text="教材">
      <formula>NOT(ISERROR(SEARCH("教材",D3)))</formula>
    </cfRule>
    <cfRule type="containsText" dxfId="2" priority="23" operator="between" text="预设班">
      <formula>NOT(ISERROR(SEARCH("预设班",D3)))</formula>
    </cfRule>
    <cfRule type="containsText" dxfId="1" priority="22" operator="between" text="未审核">
      <formula>NOT(ISERROR(SEARCH("未审核",D3)))</formula>
    </cfRule>
    <cfRule type="containsText" dxfId="0" priority="21" operator="between" text="!">
      <formula>NOT(ISERROR(SEARCH("!",D3)))</formula>
    </cfRule>
  </conditionalFormatting>
  <conditionalFormatting sqref="E4:G4">
    <cfRule type="containsText" dxfId="3" priority="96" operator="between" text="教材">
      <formula>NOT(ISERROR(SEARCH("教材",E4)))</formula>
    </cfRule>
    <cfRule type="containsText" dxfId="2" priority="95" operator="between" text="预设班">
      <formula>NOT(ISERROR(SEARCH("预设班",E4)))</formula>
    </cfRule>
    <cfRule type="containsText" dxfId="1" priority="94" operator="between" text="未审核">
      <formula>NOT(ISERROR(SEARCH("未审核",E4)))</formula>
    </cfRule>
    <cfRule type="containsText" dxfId="0" priority="93" operator="between" text="!">
      <formula>NOT(ISERROR(SEARCH("!",E4)))</formula>
    </cfRule>
  </conditionalFormatting>
  <conditionalFormatting sqref="V4">
    <cfRule type="containsText" dxfId="3" priority="124" operator="between" text="教材">
      <formula>NOT(ISERROR(SEARCH("教材",V4)))</formula>
    </cfRule>
    <cfRule type="containsText" dxfId="2" priority="123" operator="between" text="预设班">
      <formula>NOT(ISERROR(SEARCH("预设班",V4)))</formula>
    </cfRule>
    <cfRule type="containsText" dxfId="1" priority="122" operator="between" text="未审核">
      <formula>NOT(ISERROR(SEARCH("未审核",V4)))</formula>
    </cfRule>
    <cfRule type="containsText" dxfId="0" priority="121" operator="between" text="!">
      <formula>NOT(ISERROR(SEARCH("!",V4)))</formula>
    </cfRule>
  </conditionalFormatting>
  <conditionalFormatting sqref="W4">
    <cfRule type="containsText" dxfId="3" priority="120" operator="between" text="教材">
      <formula>NOT(ISERROR(SEARCH("教材",W4)))</formula>
    </cfRule>
    <cfRule type="containsText" dxfId="2" priority="119" operator="between" text="预设班">
      <formula>NOT(ISERROR(SEARCH("预设班",W4)))</formula>
    </cfRule>
    <cfRule type="containsText" dxfId="1" priority="118" operator="between" text="未审核">
      <formula>NOT(ISERROR(SEARCH("未审核",W4)))</formula>
    </cfRule>
    <cfRule type="containsText" dxfId="0" priority="117" operator="between" text="!">
      <formula>NOT(ISERROR(SEARCH("!",W4)))</formula>
    </cfRule>
  </conditionalFormatting>
  <conditionalFormatting sqref="F5">
    <cfRule type="containsText" dxfId="3" priority="16" operator="between" text="教材">
      <formula>NOT(ISERROR(SEARCH("教材",F5)))</formula>
    </cfRule>
    <cfRule type="containsText" dxfId="2" priority="15" operator="between" text="预设班">
      <formula>NOT(ISERROR(SEARCH("预设班",F5)))</formula>
    </cfRule>
    <cfRule type="containsText" dxfId="1" priority="14" operator="between" text="未审核">
      <formula>NOT(ISERROR(SEARCH("未审核",F5)))</formula>
    </cfRule>
    <cfRule type="containsText" dxfId="0" priority="13" operator="between" text="!">
      <formula>NOT(ISERROR(SEARCH("!",F5)))</formula>
    </cfRule>
  </conditionalFormatting>
  <conditionalFormatting sqref="G5">
    <cfRule type="containsText" dxfId="3" priority="76" operator="between" text="教材">
      <formula>NOT(ISERROR(SEARCH("教材",G5)))</formula>
    </cfRule>
    <cfRule type="containsText" dxfId="2" priority="75" operator="between" text="预设班">
      <formula>NOT(ISERROR(SEARCH("预设班",G5)))</formula>
    </cfRule>
    <cfRule type="containsText" dxfId="1" priority="74" operator="between" text="未审核">
      <formula>NOT(ISERROR(SEARCH("未审核",G5)))</formula>
    </cfRule>
    <cfRule type="containsText" dxfId="0" priority="73" operator="between" text="!">
      <formula>NOT(ISERROR(SEARCH("!",G5)))</formula>
    </cfRule>
  </conditionalFormatting>
  <conditionalFormatting sqref="H5">
    <cfRule type="containsText" dxfId="3" priority="104" operator="between" text="教材">
      <formula>NOT(ISERROR(SEARCH("教材",H5)))</formula>
    </cfRule>
    <cfRule type="containsText" dxfId="2" priority="103" operator="between" text="预设班">
      <formula>NOT(ISERROR(SEARCH("预设班",H5)))</formula>
    </cfRule>
    <cfRule type="containsText" dxfId="1" priority="102" operator="between" text="未审核">
      <formula>NOT(ISERROR(SEARCH("未审核",H5)))</formula>
    </cfRule>
    <cfRule type="containsText" dxfId="0" priority="101" operator="between" text="!">
      <formula>NOT(ISERROR(SEARCH("!",H5)))</formula>
    </cfRule>
  </conditionalFormatting>
  <conditionalFormatting sqref="U5">
    <cfRule type="containsText" dxfId="3" priority="112" operator="between" text="教材">
      <formula>NOT(ISERROR(SEARCH("教材",U5)))</formula>
    </cfRule>
    <cfRule type="containsText" dxfId="2" priority="111" operator="between" text="预设班">
      <formula>NOT(ISERROR(SEARCH("预设班",U5)))</formula>
    </cfRule>
    <cfRule type="containsText" dxfId="1" priority="110" operator="between" text="未审核">
      <formula>NOT(ISERROR(SEARCH("未审核",U5)))</formula>
    </cfRule>
    <cfRule type="containsText" dxfId="0" priority="109" operator="between" text="!">
      <formula>NOT(ISERROR(SEARCH("!",U5)))</formula>
    </cfRule>
  </conditionalFormatting>
  <conditionalFormatting sqref="W5">
    <cfRule type="containsText" dxfId="3" priority="80" operator="between" text="教材">
      <formula>NOT(ISERROR(SEARCH("教材",W5)))</formula>
    </cfRule>
    <cfRule type="containsText" dxfId="2" priority="79" operator="between" text="预设班">
      <formula>NOT(ISERROR(SEARCH("预设班",W5)))</formula>
    </cfRule>
    <cfRule type="containsText" dxfId="1" priority="78" operator="between" text="未审核">
      <formula>NOT(ISERROR(SEARCH("未审核",W5)))</formula>
    </cfRule>
    <cfRule type="containsText" dxfId="0" priority="77" operator="between" text="!">
      <formula>NOT(ISERROR(SEARCH("!",W5)))</formula>
    </cfRule>
  </conditionalFormatting>
  <conditionalFormatting sqref="X5">
    <cfRule type="containsText" dxfId="3" priority="152" operator="between" text="教材">
      <formula>NOT(ISERROR(SEARCH("教材",X5)))</formula>
    </cfRule>
    <cfRule type="containsText" dxfId="2" priority="151" operator="between" text="预设班">
      <formula>NOT(ISERROR(SEARCH("预设班",X5)))</formula>
    </cfRule>
    <cfRule type="containsText" dxfId="1" priority="150" operator="between" text="未审核">
      <formula>NOT(ISERROR(SEARCH("未审核",X5)))</formula>
    </cfRule>
    <cfRule type="containsText" dxfId="0" priority="149" operator="between" text="!">
      <formula>NOT(ISERROR(SEARCH("!",X5)))</formula>
    </cfRule>
  </conditionalFormatting>
  <conditionalFormatting sqref="F6">
    <cfRule type="containsText" dxfId="3" priority="40" operator="between" text="教材">
      <formula>NOT(ISERROR(SEARCH("教材",F6)))</formula>
    </cfRule>
    <cfRule type="containsText" dxfId="2" priority="39" operator="between" text="预设班">
      <formula>NOT(ISERROR(SEARCH("预设班",F6)))</formula>
    </cfRule>
    <cfRule type="containsText" dxfId="1" priority="38" operator="between" text="未审核">
      <formula>NOT(ISERROR(SEARCH("未审核",F6)))</formula>
    </cfRule>
    <cfRule type="containsText" dxfId="0" priority="37" operator="between" text="!">
      <formula>NOT(ISERROR(SEARCH("!",F6)))</formula>
    </cfRule>
  </conditionalFormatting>
  <conditionalFormatting sqref="C7">
    <cfRule type="containsText" dxfId="0" priority="265" operator="between" text="!">
      <formula>NOT(ISERROR(SEARCH("!",C7)))</formula>
    </cfRule>
    <cfRule type="containsText" dxfId="1" priority="266" operator="between" text="未审核">
      <formula>NOT(ISERROR(SEARCH("未审核",C7)))</formula>
    </cfRule>
    <cfRule type="containsText" dxfId="2" priority="267" operator="between" text="预设班">
      <formula>NOT(ISERROR(SEARCH("预设班",C7)))</formula>
    </cfRule>
    <cfRule type="containsText" dxfId="3" priority="268" operator="between" text="教材">
      <formula>NOT(ISERROR(SEARCH("教材",C7)))</formula>
    </cfRule>
  </conditionalFormatting>
  <conditionalFormatting sqref="S7">
    <cfRule type="containsText" dxfId="3" priority="172" operator="between" text="教材">
      <formula>NOT(ISERROR(SEARCH("教材",S7)))</formula>
    </cfRule>
    <cfRule type="containsText" dxfId="2" priority="171" operator="between" text="预设班">
      <formula>NOT(ISERROR(SEARCH("预设班",S7)))</formula>
    </cfRule>
    <cfRule type="containsText" dxfId="1" priority="170" operator="between" text="未审核">
      <formula>NOT(ISERROR(SEARCH("未审核",S7)))</formula>
    </cfRule>
    <cfRule type="containsText" dxfId="0" priority="169" operator="between" text="!">
      <formula>NOT(ISERROR(SEARCH("!",S7)))</formula>
    </cfRule>
  </conditionalFormatting>
  <conditionalFormatting sqref="V7">
    <cfRule type="containsText" dxfId="3" priority="132" operator="between" text="教材">
      <formula>NOT(ISERROR(SEARCH("教材",V7)))</formula>
    </cfRule>
    <cfRule type="containsText" dxfId="2" priority="131" operator="between" text="预设班">
      <formula>NOT(ISERROR(SEARCH("预设班",V7)))</formula>
    </cfRule>
    <cfRule type="containsText" dxfId="1" priority="130" operator="between" text="未审核">
      <formula>NOT(ISERROR(SEARCH("未审核",V7)))</formula>
    </cfRule>
    <cfRule type="containsText" dxfId="0" priority="129" operator="between" text="!">
      <formula>NOT(ISERROR(SEARCH("!",V7)))</formula>
    </cfRule>
  </conditionalFormatting>
  <conditionalFormatting sqref="V8">
    <cfRule type="containsText" dxfId="3" priority="128" operator="between" text="教材">
      <formula>NOT(ISERROR(SEARCH("教材",V8)))</formula>
    </cfRule>
    <cfRule type="containsText" dxfId="2" priority="127" operator="between" text="预设班">
      <formula>NOT(ISERROR(SEARCH("预设班",V8)))</formula>
    </cfRule>
    <cfRule type="containsText" dxfId="1" priority="126" operator="between" text="未审核">
      <formula>NOT(ISERROR(SEARCH("未审核",V8)))</formula>
    </cfRule>
    <cfRule type="containsText" dxfId="0" priority="125" operator="between" text="!">
      <formula>NOT(ISERROR(SEARCH("!",V8)))</formula>
    </cfRule>
  </conditionalFormatting>
  <conditionalFormatting sqref="D9">
    <cfRule type="containsText" dxfId="3" priority="60" operator="between" text="教材">
      <formula>NOT(ISERROR(SEARCH("教材",D9)))</formula>
    </cfRule>
    <cfRule type="containsText" dxfId="2" priority="59" operator="between" text="预设班">
      <formula>NOT(ISERROR(SEARCH("预设班",D9)))</formula>
    </cfRule>
    <cfRule type="containsText" dxfId="1" priority="58" operator="between" text="未审核">
      <formula>NOT(ISERROR(SEARCH("未审核",D9)))</formula>
    </cfRule>
    <cfRule type="containsText" dxfId="0" priority="57" operator="between" text="!">
      <formula>NOT(ISERROR(SEARCH("!",D9)))</formula>
    </cfRule>
  </conditionalFormatting>
  <conditionalFormatting sqref="E9:F9">
    <cfRule type="containsText" dxfId="3" priority="100" operator="between" text="教材">
      <formula>NOT(ISERROR(SEARCH("教材",E9)))</formula>
    </cfRule>
    <cfRule type="containsText" dxfId="2" priority="99" operator="between" text="预设班">
      <formula>NOT(ISERROR(SEARCH("预设班",E9)))</formula>
    </cfRule>
    <cfRule type="containsText" dxfId="1" priority="98" operator="between" text="未审核">
      <formula>NOT(ISERROR(SEARCH("未审核",E9)))</formula>
    </cfRule>
    <cfRule type="containsText" dxfId="0" priority="97" operator="between" text="!">
      <formula>NOT(ISERROR(SEARCH("!",E9)))</formula>
    </cfRule>
  </conditionalFormatting>
  <conditionalFormatting sqref="G9">
    <cfRule type="containsText" dxfId="3" priority="28" operator="between" text="教材">
      <formula>NOT(ISERROR(SEARCH("教材",G9)))</formula>
    </cfRule>
    <cfRule type="containsText" dxfId="2" priority="27" operator="between" text="预设班">
      <formula>NOT(ISERROR(SEARCH("预设班",G9)))</formula>
    </cfRule>
    <cfRule type="containsText" dxfId="1" priority="26" operator="between" text="未审核">
      <formula>NOT(ISERROR(SEARCH("未审核",G9)))</formula>
    </cfRule>
    <cfRule type="containsText" dxfId="0" priority="25" operator="between" text="!">
      <formula>NOT(ISERROR(SEARCH("!",G9)))</formula>
    </cfRule>
  </conditionalFormatting>
  <conditionalFormatting sqref="W9">
    <cfRule type="containsText" dxfId="3" priority="156" operator="between" text="教材">
      <formula>NOT(ISERROR(SEARCH("教材",W9)))</formula>
    </cfRule>
    <cfRule type="containsText" dxfId="2" priority="155" operator="between" text="预设班">
      <formula>NOT(ISERROR(SEARCH("预设班",W9)))</formula>
    </cfRule>
    <cfRule type="containsText" dxfId="1" priority="154" operator="between" text="未审核">
      <formula>NOT(ISERROR(SEARCH("未审核",W9)))</formula>
    </cfRule>
    <cfRule type="containsText" dxfId="0" priority="153" operator="between" text="!">
      <formula>NOT(ISERROR(SEARCH("!",W9)))</formula>
    </cfRule>
  </conditionalFormatting>
  <conditionalFormatting sqref="E11:G11">
    <cfRule type="containsText" dxfId="3" priority="92" operator="between" text="教材">
      <formula>NOT(ISERROR(SEARCH("教材",E11)))</formula>
    </cfRule>
    <cfRule type="containsText" dxfId="2" priority="91" operator="between" text="预设班">
      <formula>NOT(ISERROR(SEARCH("预设班",E11)))</formula>
    </cfRule>
    <cfRule type="containsText" dxfId="1" priority="90" operator="between" text="未审核">
      <formula>NOT(ISERROR(SEARCH("未审核",E11)))</formula>
    </cfRule>
    <cfRule type="containsText" dxfId="0" priority="89" operator="between" text="!">
      <formula>NOT(ISERROR(SEARCH("!",E11)))</formula>
    </cfRule>
  </conditionalFormatting>
  <conditionalFormatting sqref="E12">
    <cfRule type="containsText" dxfId="3" priority="12" operator="between" text="教材">
      <formula>NOT(ISERROR(SEARCH("教材",E12)))</formula>
    </cfRule>
    <cfRule type="containsText" dxfId="2" priority="11" operator="between" text="预设班">
      <formula>NOT(ISERROR(SEARCH("预设班",E12)))</formula>
    </cfRule>
    <cfRule type="containsText" dxfId="1" priority="10" operator="between" text="未审核">
      <formula>NOT(ISERROR(SEARCH("未审核",E12)))</formula>
    </cfRule>
    <cfRule type="containsText" dxfId="0" priority="9" operator="between" text="!">
      <formula>NOT(ISERROR(SEARCH("!",E12)))</formula>
    </cfRule>
  </conditionalFormatting>
  <conditionalFormatting sqref="G12">
    <cfRule type="containsText" dxfId="3" priority="88" operator="between" text="教材">
      <formula>NOT(ISERROR(SEARCH("教材",G12)))</formula>
    </cfRule>
    <cfRule type="containsText" dxfId="2" priority="87" operator="between" text="预设班">
      <formula>NOT(ISERROR(SEARCH("预设班",G12)))</formula>
    </cfRule>
    <cfRule type="containsText" dxfId="1" priority="86" operator="between" text="未审核">
      <formula>NOT(ISERROR(SEARCH("未审核",G12)))</formula>
    </cfRule>
    <cfRule type="containsText" dxfId="0" priority="85" operator="between" text="!">
      <formula>NOT(ISERROR(SEARCH("!",G12)))</formula>
    </cfRule>
  </conditionalFormatting>
  <conditionalFormatting sqref="T12:U12">
    <cfRule type="containsText" dxfId="3" priority="116" operator="between" text="教材">
      <formula>NOT(ISERROR(SEARCH("教材",T12)))</formula>
    </cfRule>
    <cfRule type="containsText" dxfId="2" priority="115" operator="between" text="预设班">
      <formula>NOT(ISERROR(SEARCH("预设班",T12)))</formula>
    </cfRule>
    <cfRule type="containsText" dxfId="1" priority="114" operator="between" text="未审核">
      <formula>NOT(ISERROR(SEARCH("未审核",T12)))</formula>
    </cfRule>
    <cfRule type="containsText" dxfId="0" priority="113" operator="between" text="!">
      <formula>NOT(ISERROR(SEARCH("!",T12)))</formula>
    </cfRule>
  </conditionalFormatting>
  <conditionalFormatting sqref="V12">
    <cfRule type="containsText" dxfId="3" priority="164" operator="between" text="教材">
      <formula>NOT(ISERROR(SEARCH("教材",V12)))</formula>
    </cfRule>
    <cfRule type="containsText" dxfId="2" priority="163" operator="between" text="预设班">
      <formula>NOT(ISERROR(SEARCH("预设班",V12)))</formula>
    </cfRule>
    <cfRule type="containsText" dxfId="1" priority="162" operator="between" text="未审核">
      <formula>NOT(ISERROR(SEARCH("未审核",V12)))</formula>
    </cfRule>
    <cfRule type="containsText" dxfId="0" priority="161" operator="between" text="!">
      <formula>NOT(ISERROR(SEARCH("!",V12)))</formula>
    </cfRule>
  </conditionalFormatting>
  <conditionalFormatting sqref="W12">
    <cfRule type="containsText" dxfId="3" priority="84" operator="between" text="教材">
      <formula>NOT(ISERROR(SEARCH("教材",W12)))</formula>
    </cfRule>
    <cfRule type="containsText" dxfId="2" priority="83" operator="between" text="预设班">
      <formula>NOT(ISERROR(SEARCH("预设班",W12)))</formula>
    </cfRule>
    <cfRule type="containsText" dxfId="1" priority="82" operator="between" text="未审核">
      <formula>NOT(ISERROR(SEARCH("未审核",W12)))</formula>
    </cfRule>
    <cfRule type="containsText" dxfId="0" priority="81" operator="between" text="!">
      <formula>NOT(ISERROR(SEARCH("!",W12)))</formula>
    </cfRule>
  </conditionalFormatting>
  <conditionalFormatting sqref="D13:G13">
    <cfRule type="containsText" dxfId="0" priority="269" operator="between" text="!">
      <formula>NOT(ISERROR(SEARCH("!",D13)))</formula>
    </cfRule>
    <cfRule type="containsText" dxfId="1" priority="270" operator="between" text="未审核">
      <formula>NOT(ISERROR(SEARCH("未审核",D13)))</formula>
    </cfRule>
    <cfRule type="containsText" dxfId="2" priority="271" operator="between" text="预设班">
      <formula>NOT(ISERROR(SEARCH("预设班",D13)))</formula>
    </cfRule>
    <cfRule type="containsText" dxfId="3" priority="272" operator="between" text="教材">
      <formula>NOT(ISERROR(SEARCH("教材",D13)))</formula>
    </cfRule>
  </conditionalFormatting>
  <conditionalFormatting sqref="T13:W13">
    <cfRule type="containsText" dxfId="3" priority="176" operator="between" text="教材">
      <formula>NOT(ISERROR(SEARCH("教材",T13)))</formula>
    </cfRule>
    <cfRule type="containsText" dxfId="2" priority="175" operator="between" text="预设班">
      <formula>NOT(ISERROR(SEARCH("预设班",T13)))</formula>
    </cfRule>
    <cfRule type="containsText" dxfId="1" priority="174" operator="between" text="未审核">
      <formula>NOT(ISERROR(SEARCH("未审核",T13)))</formula>
    </cfRule>
    <cfRule type="containsText" dxfId="0" priority="173" operator="between" text="!">
      <formula>NOT(ISERROR(SEARCH("!",T13)))</formula>
    </cfRule>
  </conditionalFormatting>
  <conditionalFormatting sqref="D15:F15">
    <cfRule type="containsText" dxfId="3" priority="36" operator="between" text="教材">
      <formula>NOT(ISERROR(SEARCH("教材",D15)))</formula>
    </cfRule>
    <cfRule type="containsText" dxfId="2" priority="35" operator="between" text="预设班">
      <formula>NOT(ISERROR(SEARCH("预设班",D15)))</formula>
    </cfRule>
    <cfRule type="containsText" dxfId="1" priority="34" operator="between" text="未审核">
      <formula>NOT(ISERROR(SEARCH("未审核",D15)))</formula>
    </cfRule>
    <cfRule type="containsText" dxfId="0" priority="33" operator="between" text="!">
      <formula>NOT(ISERROR(SEARCH("!",D15)))</formula>
    </cfRule>
  </conditionalFormatting>
  <conditionalFormatting sqref="G15">
    <cfRule type="containsText" dxfId="3" priority="68" operator="between" text="教材">
      <formula>NOT(ISERROR(SEARCH("教材",G15)))</formula>
    </cfRule>
    <cfRule type="containsText" dxfId="2" priority="67" operator="between" text="预设班">
      <formula>NOT(ISERROR(SEARCH("预设班",G15)))</formula>
    </cfRule>
    <cfRule type="containsText" dxfId="1" priority="66" operator="between" text="未审核">
      <formula>NOT(ISERROR(SEARCH("未审核",G15)))</formula>
    </cfRule>
    <cfRule type="containsText" dxfId="0" priority="65" operator="between" text="!">
      <formula>NOT(ISERROR(SEARCH("!",G15)))</formula>
    </cfRule>
  </conditionalFormatting>
  <conditionalFormatting sqref="T15:V15">
    <cfRule type="containsText" dxfId="3" priority="108" operator="between" text="教材">
      <formula>NOT(ISERROR(SEARCH("教材",T15)))</formula>
    </cfRule>
    <cfRule type="containsText" dxfId="2" priority="107" operator="between" text="预设班">
      <formula>NOT(ISERROR(SEARCH("预设班",T15)))</formula>
    </cfRule>
    <cfRule type="containsText" dxfId="1" priority="106" operator="between" text="未审核">
      <formula>NOT(ISERROR(SEARCH("未审核",T15)))</formula>
    </cfRule>
    <cfRule type="containsText" dxfId="0" priority="105" operator="between" text="!">
      <formula>NOT(ISERROR(SEARCH("!",T15)))</formula>
    </cfRule>
  </conditionalFormatting>
  <conditionalFormatting sqref="W15">
    <cfRule type="containsText" dxfId="3" priority="144" operator="between" text="教材">
      <formula>NOT(ISERROR(SEARCH("教材",W15)))</formula>
    </cfRule>
    <cfRule type="containsText" dxfId="2" priority="143" operator="between" text="预设班">
      <formula>NOT(ISERROR(SEARCH("预设班",W15)))</formula>
    </cfRule>
    <cfRule type="containsText" dxfId="1" priority="142" operator="between" text="未审核">
      <formula>NOT(ISERROR(SEARCH("未审核",W15)))</formula>
    </cfRule>
    <cfRule type="containsText" dxfId="0" priority="141" operator="between" text="!">
      <formula>NOT(ISERROR(SEARCH("!",W15)))</formula>
    </cfRule>
  </conditionalFormatting>
  <conditionalFormatting sqref="E16">
    <cfRule type="containsText" dxfId="3" priority="52" operator="between" text="教材">
      <formula>NOT(ISERROR(SEARCH("教材",E16)))</formula>
    </cfRule>
    <cfRule type="containsText" dxfId="2" priority="51" operator="between" text="预设班">
      <formula>NOT(ISERROR(SEARCH("预设班",E16)))</formula>
    </cfRule>
    <cfRule type="containsText" dxfId="1" priority="50" operator="between" text="未审核">
      <formula>NOT(ISERROR(SEARCH("未审核",E16)))</formula>
    </cfRule>
    <cfRule type="containsText" dxfId="0" priority="49" operator="between" text="!">
      <formula>NOT(ISERROR(SEARCH("!",E16)))</formula>
    </cfRule>
  </conditionalFormatting>
  <conditionalFormatting sqref="F16:G16">
    <cfRule type="containsText" dxfId="3" priority="4" operator="between" text="教材">
      <formula>NOT(ISERROR(SEARCH("教材",F16)))</formula>
    </cfRule>
    <cfRule type="containsText" dxfId="2" priority="3" operator="between" text="预设班">
      <formula>NOT(ISERROR(SEARCH("预设班",F16)))</formula>
    </cfRule>
    <cfRule type="containsText" dxfId="1" priority="2" operator="between" text="未审核">
      <formula>NOT(ISERROR(SEARCH("未审核",F16)))</formula>
    </cfRule>
    <cfRule type="containsText" dxfId="0" priority="1" operator="between" text="!">
      <formula>NOT(ISERROR(SEARCH("!",F16)))</formula>
    </cfRule>
  </conditionalFormatting>
  <conditionalFormatting sqref="W16">
    <cfRule type="containsText" dxfId="3" priority="140" operator="between" text="教材">
      <formula>NOT(ISERROR(SEARCH("教材",W16)))</formula>
    </cfRule>
    <cfRule type="containsText" dxfId="2" priority="139" operator="between" text="预设班">
      <formula>NOT(ISERROR(SEARCH("预设班",W16)))</formula>
    </cfRule>
    <cfRule type="containsText" dxfId="1" priority="138" operator="between" text="未审核">
      <formula>NOT(ISERROR(SEARCH("未审核",W16)))</formula>
    </cfRule>
    <cfRule type="containsText" dxfId="0" priority="137" operator="between" text="!">
      <formula>NOT(ISERROR(SEARCH("!",W16)))</formula>
    </cfRule>
  </conditionalFormatting>
  <conditionalFormatting sqref="G18">
    <cfRule type="containsText" dxfId="0" priority="217" operator="between" text="!">
      <formula>NOT(ISERROR(SEARCH("!",G18)))</formula>
    </cfRule>
    <cfRule type="containsText" dxfId="1" priority="218" operator="between" text="未审核">
      <formula>NOT(ISERROR(SEARCH("未审核",G18)))</formula>
    </cfRule>
    <cfRule type="containsText" dxfId="2" priority="219" operator="between" text="预设班">
      <formula>NOT(ISERROR(SEARCH("预设班",G18)))</formula>
    </cfRule>
    <cfRule type="containsText" dxfId="3" priority="220" operator="between" text="教材">
      <formula>NOT(ISERROR(SEARCH("教材",G18)))</formula>
    </cfRule>
  </conditionalFormatting>
  <conditionalFormatting sqref="W18">
    <cfRule type="containsText" dxfId="3" priority="136" operator="between" text="教材">
      <formula>NOT(ISERROR(SEARCH("教材",W18)))</formula>
    </cfRule>
    <cfRule type="containsText" dxfId="2" priority="135" operator="between" text="预设班">
      <formula>NOT(ISERROR(SEARCH("预设班",W18)))</formula>
    </cfRule>
    <cfRule type="containsText" dxfId="1" priority="134" operator="between" text="未审核">
      <formula>NOT(ISERROR(SEARCH("未审核",W18)))</formula>
    </cfRule>
    <cfRule type="containsText" dxfId="0" priority="133" operator="between" text="!">
      <formula>NOT(ISERROR(SEARCH("!",W18)))</formula>
    </cfRule>
  </conditionalFormatting>
  <conditionalFormatting sqref="D16:D17">
    <cfRule type="containsText" dxfId="0" priority="245" operator="between" text="!">
      <formula>NOT(ISERROR(SEARCH("!",D16)))</formula>
    </cfRule>
    <cfRule type="containsText" dxfId="1" priority="246" operator="between" text="未审核">
      <formula>NOT(ISERROR(SEARCH("未审核",D16)))</formula>
    </cfRule>
    <cfRule type="containsText" dxfId="2" priority="247" operator="between" text="预设班">
      <formula>NOT(ISERROR(SEARCH("预设班",D16)))</formula>
    </cfRule>
    <cfRule type="containsText" dxfId="3" priority="248" operator="between" text="教材">
      <formula>NOT(ISERROR(SEARCH("教材",D16)))</formula>
    </cfRule>
  </conditionalFormatting>
  <conditionalFormatting sqref="T16:T17">
    <cfRule type="containsText" dxfId="3" priority="160" operator="between" text="教材">
      <formula>NOT(ISERROR(SEARCH("教材",T16)))</formula>
    </cfRule>
    <cfRule type="containsText" dxfId="2" priority="159" operator="between" text="预设班">
      <formula>NOT(ISERROR(SEARCH("预设班",T16)))</formula>
    </cfRule>
    <cfRule type="containsText" dxfId="1" priority="158" operator="between" text="未审核">
      <formula>NOT(ISERROR(SEARCH("未审核",T16)))</formula>
    </cfRule>
    <cfRule type="containsText" dxfId="0" priority="157" operator="between" text="!">
      <formula>NOT(ISERROR(SEARCH("!",T16)))</formula>
    </cfRule>
  </conditionalFormatting>
  <conditionalFormatting sqref="U7:U8">
    <cfRule type="containsText" dxfId="3" priority="168" operator="between" text="教材">
      <formula>NOT(ISERROR(SEARCH("教材",U7)))</formula>
    </cfRule>
    <cfRule type="containsText" dxfId="2" priority="167" operator="between" text="预设班">
      <formula>NOT(ISERROR(SEARCH("预设班",U7)))</formula>
    </cfRule>
    <cfRule type="containsText" dxfId="1" priority="166" operator="between" text="未审核">
      <formula>NOT(ISERROR(SEARCH("未审核",U7)))</formula>
    </cfRule>
    <cfRule type="containsText" dxfId="0" priority="165" operator="between" text="!">
      <formula>NOT(ISERROR(SEARCH("!",U7)))</formula>
    </cfRule>
  </conditionalFormatting>
  <conditionalFormatting sqref="D2:H2 H3">
    <cfRule type="containsText" dxfId="0" priority="277" operator="between" text="!">
      <formula>NOT(ISERROR(SEARCH("!",D2)))</formula>
    </cfRule>
    <cfRule type="containsText" dxfId="1" priority="278" operator="between" text="未审核">
      <formula>NOT(ISERROR(SEARCH("未审核",D2)))</formula>
    </cfRule>
    <cfRule type="containsText" dxfId="2" priority="279" operator="between" text="预设班">
      <formula>NOT(ISERROR(SEARCH("预设班",D2)))</formula>
    </cfRule>
    <cfRule type="containsText" dxfId="3" priority="280" operator="between" text="教材">
      <formula>NOT(ISERROR(SEARCH("教材",D2)))</formula>
    </cfRule>
  </conditionalFormatting>
  <conditionalFormatting sqref="T2:X2 X3">
    <cfRule type="containsText" dxfId="3" priority="184" operator="between" text="教材">
      <formula>NOT(ISERROR(SEARCH("教材",T2)))</formula>
    </cfRule>
    <cfRule type="containsText" dxfId="2" priority="183" operator="between" text="预设班">
      <formula>NOT(ISERROR(SEARCH("预设班",T2)))</formula>
    </cfRule>
    <cfRule type="containsText" dxfId="1" priority="182" operator="between" text="未审核">
      <formula>NOT(ISERROR(SEARCH("未审核",T2)))</formula>
    </cfRule>
    <cfRule type="containsText" dxfId="0" priority="181" operator="between" text="!">
      <formula>NOT(ISERROR(SEARCH("!",T2)))</formula>
    </cfRule>
  </conditionalFormatting>
  <conditionalFormatting sqref="C3 C9:C10">
    <cfRule type="containsText" dxfId="0" priority="281" operator="between" text="!">
      <formula>NOT(ISERROR(SEARCH("!",C3)))</formula>
    </cfRule>
    <cfRule type="containsText" dxfId="1" priority="282" operator="between" text="未审核">
      <formula>NOT(ISERROR(SEARCH("未审核",C3)))</formula>
    </cfRule>
    <cfRule type="containsText" dxfId="2" priority="283" operator="between" text="预设班">
      <formula>NOT(ISERROR(SEARCH("预设班",C3)))</formula>
    </cfRule>
    <cfRule type="containsText" dxfId="3" priority="284" operator="between" text="教材">
      <formula>NOT(ISERROR(SEARCH("教材",C3)))</formula>
    </cfRule>
  </conditionalFormatting>
  <conditionalFormatting sqref="S3 S9:S10">
    <cfRule type="containsText" dxfId="3" priority="188" operator="between" text="教材">
      <formula>NOT(ISERROR(SEARCH("教材",S3)))</formula>
    </cfRule>
    <cfRule type="containsText" dxfId="2" priority="187" operator="between" text="预设班">
      <formula>NOT(ISERROR(SEARCH("预设班",S3)))</formula>
    </cfRule>
    <cfRule type="containsText" dxfId="1" priority="186" operator="between" text="未审核">
      <formula>NOT(ISERROR(SEARCH("未审核",S3)))</formula>
    </cfRule>
    <cfRule type="containsText" dxfId="0" priority="185" operator="between" text="!">
      <formula>NOT(ISERROR(SEARCH("!",S3)))</formula>
    </cfRule>
  </conditionalFormatting>
  <conditionalFormatting sqref="D5:D6 H7:H13 C14 C17 H18">
    <cfRule type="containsText" dxfId="0" priority="273" operator="between" text="!">
      <formula>NOT(ISERROR(SEARCH("!",C5)))</formula>
    </cfRule>
    <cfRule type="containsText" dxfId="1" priority="274" operator="between" text="未审核">
      <formula>NOT(ISERROR(SEARCH("未审核",C5)))</formula>
    </cfRule>
    <cfRule type="containsText" dxfId="2" priority="275" operator="between" text="预设班">
      <formula>NOT(ISERROR(SEARCH("预设班",C5)))</formula>
    </cfRule>
    <cfRule type="containsText" dxfId="3" priority="276" operator="between" text="教材">
      <formula>NOT(ISERROR(SEARCH("教材",C5)))</formula>
    </cfRule>
  </conditionalFormatting>
  <conditionalFormatting sqref="T5 V5 T6 X7:X13 S14 S17 X18">
    <cfRule type="containsText" dxfId="3" priority="180" operator="between" text="教材">
      <formula>NOT(ISERROR(SEARCH("教材",S5)))</formula>
    </cfRule>
    <cfRule type="containsText" dxfId="2" priority="179" operator="between" text="预设班">
      <formula>NOT(ISERROR(SEARCH("预设班",S5)))</formula>
    </cfRule>
    <cfRule type="containsText" dxfId="1" priority="178" operator="between" text="未审核">
      <formula>NOT(ISERROR(SEARCH("未审核",S5)))</formula>
    </cfRule>
    <cfRule type="containsText" dxfId="0" priority="177" operator="between" text="!">
      <formula>NOT(ISERROR(SEARCH("!",S5)))</formula>
    </cfRule>
  </conditionalFormatting>
  <conditionalFormatting sqref="E6 G6">
    <cfRule type="containsText" dxfId="3" priority="44" operator="between" text="教材">
      <formula>NOT(ISERROR(SEARCH("教材",E6)))</formula>
    </cfRule>
    <cfRule type="containsText" dxfId="2" priority="43" operator="between" text="预设班">
      <formula>NOT(ISERROR(SEARCH("预设班",E6)))</formula>
    </cfRule>
    <cfRule type="containsText" dxfId="1" priority="42" operator="between" text="未审核">
      <formula>NOT(ISERROR(SEARCH("未审核",E6)))</formula>
    </cfRule>
    <cfRule type="containsText" dxfId="0" priority="41" operator="between" text="!">
      <formula>NOT(ISERROR(SEARCH("!",E6)))</formula>
    </cfRule>
  </conditionalFormatting>
  <conditionalFormatting sqref="D7:F8">
    <cfRule type="containsText" dxfId="3" priority="32" operator="between" text="教材">
      <formula>NOT(ISERROR(SEARCH("教材",D7)))</formula>
    </cfRule>
    <cfRule type="containsText" dxfId="2" priority="31" operator="between" text="预设班">
      <formula>NOT(ISERROR(SEARCH("预设班",D7)))</formula>
    </cfRule>
    <cfRule type="containsText" dxfId="1" priority="30" operator="between" text="未审核">
      <formula>NOT(ISERROR(SEARCH("未审核",D7)))</formula>
    </cfRule>
    <cfRule type="containsText" dxfId="0" priority="29" operator="between" text="!">
      <formula>NOT(ISERROR(SEARCH("!",D7)))</formula>
    </cfRule>
  </conditionalFormatting>
  <conditionalFormatting sqref="D12 F12">
    <cfRule type="containsText" dxfId="3" priority="48" operator="between" text="教材">
      <formula>NOT(ISERROR(SEARCH("教材",D12)))</formula>
    </cfRule>
    <cfRule type="containsText" dxfId="2" priority="47" operator="between" text="预设班">
      <formula>NOT(ISERROR(SEARCH("预设班",D12)))</formula>
    </cfRule>
    <cfRule type="containsText" dxfId="1" priority="46" operator="between" text="未审核">
      <formula>NOT(ISERROR(SEARCH("未审核",D12)))</formula>
    </cfRule>
    <cfRule type="containsText" dxfId="0" priority="45" operator="between" text="!">
      <formula>NOT(ISERROR(SEARCH("!",D12)))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zoomScale="80" zoomScaleNormal="80" topLeftCell="A3" workbookViewId="0">
      <selection activeCell="F7" sqref="F7:F9"/>
    </sheetView>
  </sheetViews>
  <sheetFormatPr defaultColWidth="8.88181818181818" defaultRowHeight="14"/>
  <cols>
    <col min="4" max="4" width="13.9454545454545" customWidth="1"/>
    <col min="5" max="5" width="16.0272727272727" customWidth="1"/>
    <col min="6" max="6" width="13.9454545454545" customWidth="1"/>
    <col min="7" max="7" width="16.9909090909091" customWidth="1"/>
    <col min="8" max="8" width="15.6" customWidth="1"/>
    <col min="9" max="9" width="13.9454545454545" customWidth="1"/>
  </cols>
  <sheetData>
    <row r="1" ht="63" customHeight="1" spans="1:9">
      <c r="A1" s="70" t="s">
        <v>468</v>
      </c>
      <c r="B1" s="70"/>
      <c r="C1" s="70"/>
      <c r="D1" s="70"/>
      <c r="E1" s="70"/>
      <c r="F1" s="70"/>
      <c r="G1" s="71" t="s">
        <v>1</v>
      </c>
      <c r="H1" s="72"/>
    </row>
    <row r="2" ht="14.5" spans="1:9">
      <c r="A2" s="73" t="s">
        <v>395</v>
      </c>
      <c r="B2" s="73" t="s">
        <v>3</v>
      </c>
      <c r="C2" s="73" t="s">
        <v>5</v>
      </c>
      <c r="D2" s="73" t="s">
        <v>6</v>
      </c>
      <c r="E2" s="73" t="s">
        <v>7</v>
      </c>
      <c r="F2" s="73" t="s">
        <v>242</v>
      </c>
      <c r="G2" s="73" t="s">
        <v>243</v>
      </c>
      <c r="H2" s="74" t="s">
        <v>469</v>
      </c>
    </row>
    <row r="3" ht="63" customHeight="1" spans="1:9">
      <c r="A3" s="74" t="s">
        <v>55</v>
      </c>
      <c r="B3" s="75" t="s">
        <v>470</v>
      </c>
      <c r="C3" s="75" t="s">
        <v>774</v>
      </c>
      <c r="D3" s="20" t="s">
        <v>775</v>
      </c>
      <c r="E3" s="20" t="s">
        <v>776</v>
      </c>
      <c r="F3" s="18" t="s">
        <v>777</v>
      </c>
      <c r="G3" s="18" t="s">
        <v>778</v>
      </c>
      <c r="H3" s="76"/>
      <c r="I3" s="77"/>
    </row>
    <row r="4" ht="71" customHeight="1" spans="1:9">
      <c r="A4" s="78"/>
      <c r="B4" s="75"/>
      <c r="C4" s="75"/>
      <c r="D4" s="64"/>
      <c r="E4" s="64"/>
      <c r="F4" s="18" t="s">
        <v>779</v>
      </c>
      <c r="G4" s="18" t="s">
        <v>780</v>
      </c>
      <c r="H4" s="76"/>
      <c r="I4" s="77"/>
    </row>
    <row r="5" ht="60" customHeight="1" spans="1:9">
      <c r="A5" s="78"/>
      <c r="B5" s="79"/>
      <c r="C5" s="79"/>
      <c r="D5" s="80" t="s">
        <v>781</v>
      </c>
      <c r="E5" s="38" t="s">
        <v>782</v>
      </c>
      <c r="F5" s="18" t="s">
        <v>783</v>
      </c>
      <c r="G5" s="18" t="s">
        <v>784</v>
      </c>
      <c r="H5" s="76"/>
    </row>
    <row r="6" ht="58" spans="1:9">
      <c r="A6" s="78"/>
      <c r="B6" s="74" t="s">
        <v>479</v>
      </c>
      <c r="C6" s="74" t="s">
        <v>785</v>
      </c>
      <c r="D6" s="18" t="s">
        <v>786</v>
      </c>
      <c r="E6" s="80" t="s">
        <v>787</v>
      </c>
      <c r="F6" s="80" t="s">
        <v>788</v>
      </c>
      <c r="G6" s="18"/>
      <c r="H6" s="76"/>
    </row>
    <row r="7" ht="59" customHeight="1" spans="1:9">
      <c r="A7" s="78"/>
      <c r="B7" s="78"/>
      <c r="C7" s="78"/>
      <c r="D7" s="18" t="s">
        <v>789</v>
      </c>
      <c r="E7" s="20" t="s">
        <v>790</v>
      </c>
      <c r="F7" s="18" t="s">
        <v>791</v>
      </c>
      <c r="G7" s="28" t="s">
        <v>792</v>
      </c>
      <c r="H7" s="76"/>
    </row>
    <row r="8" spans="1:9">
      <c r="A8" s="78"/>
      <c r="B8" s="78"/>
      <c r="C8" s="78"/>
      <c r="D8" s="20" t="s">
        <v>793</v>
      </c>
      <c r="E8" s="81"/>
      <c r="F8" s="18"/>
      <c r="G8" s="38" t="s">
        <v>794</v>
      </c>
      <c r="H8" s="82"/>
    </row>
    <row r="9" ht="49" customHeight="1" spans="1:9">
      <c r="A9" s="83"/>
      <c r="B9" s="78"/>
      <c r="C9" s="83"/>
      <c r="D9" s="64"/>
      <c r="E9" s="64"/>
      <c r="F9" s="18"/>
      <c r="G9" s="38"/>
      <c r="H9" s="84"/>
    </row>
    <row r="10" ht="14.5" spans="1:9">
      <c r="A10" s="75" t="s">
        <v>55</v>
      </c>
      <c r="B10" s="75" t="s">
        <v>3</v>
      </c>
      <c r="C10" s="75" t="s">
        <v>5</v>
      </c>
      <c r="D10" s="75" t="s">
        <v>6</v>
      </c>
      <c r="E10" s="75" t="s">
        <v>7</v>
      </c>
      <c r="F10" s="75" t="s">
        <v>242</v>
      </c>
      <c r="G10" s="75" t="s">
        <v>243</v>
      </c>
      <c r="H10" s="75" t="s">
        <v>469</v>
      </c>
    </row>
    <row r="11" ht="70" customHeight="1" spans="1:9">
      <c r="A11" s="75"/>
      <c r="B11" s="85" t="s">
        <v>23</v>
      </c>
      <c r="C11" s="75" t="s">
        <v>795</v>
      </c>
      <c r="D11" s="18" t="s">
        <v>796</v>
      </c>
      <c r="E11" s="18" t="s">
        <v>797</v>
      </c>
      <c r="F11" s="18" t="s">
        <v>798</v>
      </c>
      <c r="G11" s="18" t="s">
        <v>799</v>
      </c>
      <c r="H11" s="18"/>
    </row>
    <row r="12" ht="65" customHeight="1" spans="1:9">
      <c r="A12" s="75"/>
      <c r="B12" s="85"/>
      <c r="C12" s="75"/>
      <c r="D12" s="18"/>
      <c r="E12" s="18" t="s">
        <v>800</v>
      </c>
      <c r="F12" s="18"/>
      <c r="G12" s="18" t="s">
        <v>801</v>
      </c>
      <c r="H12" s="18"/>
    </row>
    <row r="13" ht="62" customHeight="1" spans="1:9">
      <c r="A13" s="75"/>
      <c r="B13" s="75"/>
      <c r="C13" s="75"/>
      <c r="D13" s="80" t="s">
        <v>802</v>
      </c>
      <c r="E13" s="18" t="s">
        <v>803</v>
      </c>
      <c r="F13" s="18" t="s">
        <v>804</v>
      </c>
      <c r="G13" s="18" t="s">
        <v>805</v>
      </c>
      <c r="H13" s="34"/>
    </row>
    <row r="14" ht="66" customHeight="1" spans="1:9">
      <c r="A14" s="75"/>
      <c r="B14" s="75"/>
      <c r="C14" s="75" t="s">
        <v>806</v>
      </c>
      <c r="D14" s="18" t="s">
        <v>807</v>
      </c>
      <c r="E14" s="18" t="s">
        <v>808</v>
      </c>
      <c r="F14" s="80" t="s">
        <v>809</v>
      </c>
      <c r="G14" s="20" t="s">
        <v>810</v>
      </c>
      <c r="H14" s="34"/>
    </row>
    <row r="15" ht="56" customHeight="1" spans="1:9">
      <c r="A15" s="75"/>
      <c r="B15" s="75"/>
      <c r="C15" s="75"/>
      <c r="D15" s="18" t="s">
        <v>811</v>
      </c>
      <c r="E15" s="20" t="s">
        <v>812</v>
      </c>
      <c r="F15" s="18" t="s">
        <v>813</v>
      </c>
      <c r="G15" s="64"/>
      <c r="H15" s="34"/>
    </row>
    <row r="16" ht="61" customHeight="1" spans="1:9">
      <c r="A16" s="75"/>
      <c r="B16" s="75"/>
      <c r="C16" s="75"/>
      <c r="D16" s="18" t="s">
        <v>814</v>
      </c>
      <c r="E16" s="64"/>
      <c r="F16" s="18"/>
      <c r="G16" s="18" t="s">
        <v>815</v>
      </c>
      <c r="H16" s="34"/>
    </row>
  </sheetData>
  <mergeCells count="22">
    <mergeCell ref="A1:F1"/>
    <mergeCell ref="A3:A9"/>
    <mergeCell ref="A10:A16"/>
    <mergeCell ref="B3:B5"/>
    <mergeCell ref="B6:B9"/>
    <mergeCell ref="B11:B16"/>
    <mergeCell ref="C3:C5"/>
    <mergeCell ref="C6:C9"/>
    <mergeCell ref="C11:C13"/>
    <mergeCell ref="C14:C16"/>
    <mergeCell ref="D3:D4"/>
    <mergeCell ref="D8:D9"/>
    <mergeCell ref="D11:D12"/>
    <mergeCell ref="E3:E4"/>
    <mergeCell ref="E7:E9"/>
    <mergeCell ref="E15:E16"/>
    <mergeCell ref="F7:F9"/>
    <mergeCell ref="F11:F12"/>
    <mergeCell ref="F15:F16"/>
    <mergeCell ref="G8:G9"/>
    <mergeCell ref="G14:G15"/>
    <mergeCell ref="H8:H9"/>
  </mergeCells>
  <conditionalFormatting sqref="F4">
    <cfRule type="containsText" dxfId="3" priority="56" operator="between" text="教材">
      <formula>NOT(ISERROR(SEARCH("教材",F4)))</formula>
    </cfRule>
    <cfRule type="containsText" dxfId="5" priority="55" operator="between" text="预设班">
      <formula>NOT(ISERROR(SEARCH("预设班",F4)))</formula>
    </cfRule>
    <cfRule type="containsText" dxfId="4" priority="54" operator="between" text="未审核">
      <formula>NOT(ISERROR(SEARCH("未审核",F4)))</formula>
    </cfRule>
    <cfRule type="containsText" dxfId="0" priority="53" operator="between" text="!">
      <formula>NOT(ISERROR(SEARCH("!",F4)))</formula>
    </cfRule>
  </conditionalFormatting>
  <conditionalFormatting sqref="D5">
    <cfRule type="containsText" dxfId="3" priority="32" operator="between" text="教材">
      <formula>NOT(ISERROR(SEARCH("教材",D5)))</formula>
    </cfRule>
    <cfRule type="containsText" dxfId="5" priority="31" operator="between" text="预设班">
      <formula>NOT(ISERROR(SEARCH("预设班",D5)))</formula>
    </cfRule>
    <cfRule type="containsText" dxfId="4" priority="30" operator="between" text="未审核">
      <formula>NOT(ISERROR(SEARCH("未审核",D5)))</formula>
    </cfRule>
    <cfRule type="containsText" dxfId="0" priority="29" operator="between" text="!">
      <formula>NOT(ISERROR(SEARCH("!",D5)))</formula>
    </cfRule>
  </conditionalFormatting>
  <conditionalFormatting sqref="D6">
    <cfRule type="containsText" dxfId="3" priority="48" operator="between" text="教材">
      <formula>NOT(ISERROR(SEARCH("教材",D6)))</formula>
    </cfRule>
    <cfRule type="containsText" dxfId="5" priority="47" operator="between" text="预设班">
      <formula>NOT(ISERROR(SEARCH("预设班",D6)))</formula>
    </cfRule>
    <cfRule type="containsText" dxfId="4" priority="46" operator="between" text="未审核">
      <formula>NOT(ISERROR(SEARCH("未审核",D6)))</formula>
    </cfRule>
    <cfRule type="containsText" dxfId="0" priority="45" operator="between" text="!">
      <formula>NOT(ISERROR(SEARCH("!",D6)))</formula>
    </cfRule>
  </conditionalFormatting>
  <conditionalFormatting sqref="E6">
    <cfRule type="containsText" dxfId="3" priority="4" operator="between" text="教材">
      <formula>NOT(ISERROR(SEARCH("教材",E6)))</formula>
    </cfRule>
    <cfRule type="containsText" dxfId="5" priority="3" operator="between" text="预设班">
      <formula>NOT(ISERROR(SEARCH("预设班",E6)))</formula>
    </cfRule>
    <cfRule type="containsText" dxfId="4" priority="2" operator="between" text="未审核">
      <formula>NOT(ISERROR(SEARCH("未审核",E6)))</formula>
    </cfRule>
    <cfRule type="containsText" dxfId="0" priority="1" operator="between" text="!">
      <formula>NOT(ISERROR(SEARCH("!",E6)))</formula>
    </cfRule>
  </conditionalFormatting>
  <conditionalFormatting sqref="F6">
    <cfRule type="containsText" dxfId="0" priority="141" operator="between" text="!">
      <formula>NOT(ISERROR(SEARCH("!",F6)))</formula>
    </cfRule>
    <cfRule type="containsText" dxfId="4" priority="142" operator="between" text="未审核">
      <formula>NOT(ISERROR(SEARCH("未审核",F6)))</formula>
    </cfRule>
    <cfRule type="containsText" dxfId="5" priority="143" operator="between" text="预设班">
      <formula>NOT(ISERROR(SEARCH("预设班",F6)))</formula>
    </cfRule>
    <cfRule type="containsText" dxfId="3" priority="144" operator="between" text="教材">
      <formula>NOT(ISERROR(SEARCH("教材",F6)))</formula>
    </cfRule>
  </conditionalFormatting>
  <conditionalFormatting sqref="G6">
    <cfRule type="containsText" dxfId="0" priority="173" operator="between" text="!">
      <formula>NOT(ISERROR(SEARCH("!",G6)))</formula>
    </cfRule>
    <cfRule type="containsText" dxfId="4" priority="174" operator="between" text="未审核">
      <formula>NOT(ISERROR(SEARCH("未审核",G6)))</formula>
    </cfRule>
    <cfRule type="containsText" dxfId="5" priority="175" operator="between" text="预设班">
      <formula>NOT(ISERROR(SEARCH("预设班",G6)))</formula>
    </cfRule>
    <cfRule type="containsText" dxfId="3" priority="176" operator="between" text="教材">
      <formula>NOT(ISERROR(SEARCH("教材",G6)))</formula>
    </cfRule>
  </conditionalFormatting>
  <conditionalFormatting sqref="D7">
    <cfRule type="containsText" dxfId="0" priority="161" operator="between" text="!">
      <formula>NOT(ISERROR(SEARCH("!",D7)))</formula>
    </cfRule>
    <cfRule type="containsText" dxfId="4" priority="162" operator="between" text="未审核">
      <formula>NOT(ISERROR(SEARCH("未审核",D7)))</formula>
    </cfRule>
    <cfRule type="containsText" dxfId="5" priority="163" operator="between" text="预设班">
      <formula>NOT(ISERROR(SEARCH("预设班",D7)))</formula>
    </cfRule>
    <cfRule type="containsText" dxfId="3" priority="164" operator="between" text="教材">
      <formula>NOT(ISERROR(SEARCH("教材",D7)))</formula>
    </cfRule>
  </conditionalFormatting>
  <conditionalFormatting sqref="E7">
    <cfRule type="containsText" dxfId="0" priority="149" operator="between" text="!">
      <formula>NOT(ISERROR(SEARCH("!",E7)))</formula>
    </cfRule>
    <cfRule type="containsText" dxfId="4" priority="150" operator="between" text="未审核">
      <formula>NOT(ISERROR(SEARCH("未审核",E7)))</formula>
    </cfRule>
    <cfRule type="containsText" dxfId="5" priority="151" operator="between" text="预设班">
      <formula>NOT(ISERROR(SEARCH("预设班",E7)))</formula>
    </cfRule>
    <cfRule type="containsText" dxfId="3" priority="152" operator="between" text="教材">
      <formula>NOT(ISERROR(SEARCH("教材",E7)))</formula>
    </cfRule>
  </conditionalFormatting>
  <conditionalFormatting sqref="F7">
    <cfRule type="containsText" dxfId="0" priority="145" operator="between" text="!">
      <formula>NOT(ISERROR(SEARCH("!",F7)))</formula>
    </cfRule>
    <cfRule type="containsText" dxfId="4" priority="146" operator="between" text="未审核">
      <formula>NOT(ISERROR(SEARCH("未审核",F7)))</formula>
    </cfRule>
    <cfRule type="containsText" dxfId="5" priority="147" operator="between" text="预设班">
      <formula>NOT(ISERROR(SEARCH("预设班",F7)))</formula>
    </cfRule>
    <cfRule type="containsText" dxfId="3" priority="148" operator="between" text="教材">
      <formula>NOT(ISERROR(SEARCH("教材",F7)))</formula>
    </cfRule>
  </conditionalFormatting>
  <conditionalFormatting sqref="G7">
    <cfRule type="containsText" dxfId="0" priority="137" operator="between" text="!">
      <formula>NOT(ISERROR(SEARCH("!",G7)))</formula>
    </cfRule>
    <cfRule type="containsText" dxfId="4" priority="138" operator="between" text="未审核">
      <formula>NOT(ISERROR(SEARCH("未审核",G7)))</formula>
    </cfRule>
    <cfRule type="containsText" dxfId="5" priority="139" operator="between" text="预设班">
      <formula>NOT(ISERROR(SEARCH("预设班",G7)))</formula>
    </cfRule>
    <cfRule type="containsText" dxfId="3" priority="140" operator="between" text="教材">
      <formula>NOT(ISERROR(SEARCH("教材",G7)))</formula>
    </cfRule>
  </conditionalFormatting>
  <conditionalFormatting sqref="D8">
    <cfRule type="containsText" dxfId="0" priority="157" operator="between" text="!">
      <formula>NOT(ISERROR(SEARCH("!",D8)))</formula>
    </cfRule>
    <cfRule type="containsText" dxfId="4" priority="158" operator="between" text="未审核">
      <formula>NOT(ISERROR(SEARCH("未审核",D8)))</formula>
    </cfRule>
    <cfRule type="containsText" dxfId="5" priority="159" operator="between" text="预设班">
      <formula>NOT(ISERROR(SEARCH("预设班",D8)))</formula>
    </cfRule>
    <cfRule type="containsText" dxfId="3" priority="160" operator="between" text="教材">
      <formula>NOT(ISERROR(SEARCH("教材",D8)))</formula>
    </cfRule>
  </conditionalFormatting>
  <conditionalFormatting sqref="E11">
    <cfRule type="containsText" dxfId="0" priority="129" operator="between" text="!">
      <formula>NOT(ISERROR(SEARCH("!",E11)))</formula>
    </cfRule>
    <cfRule type="containsText" dxfId="4" priority="130" operator="between" text="未审核">
      <formula>NOT(ISERROR(SEARCH("未审核",E11)))</formula>
    </cfRule>
    <cfRule type="containsText" dxfId="5" priority="131" operator="between" text="预设班">
      <formula>NOT(ISERROR(SEARCH("预设班",E11)))</formula>
    </cfRule>
    <cfRule type="containsText" dxfId="3" priority="132" operator="between" text="教材">
      <formula>NOT(ISERROR(SEARCH("教材",E11)))</formula>
    </cfRule>
  </conditionalFormatting>
  <conditionalFormatting sqref="G11">
    <cfRule type="containsText" dxfId="0" priority="113" operator="between" text="!">
      <formula>NOT(ISERROR(SEARCH("!",G11)))</formula>
    </cfRule>
    <cfRule type="containsText" dxfId="4" priority="114" operator="between" text="未审核">
      <formula>NOT(ISERROR(SEARCH("未审核",G11)))</formula>
    </cfRule>
    <cfRule type="containsText" dxfId="5" priority="115" operator="between" text="预设班">
      <formula>NOT(ISERROR(SEARCH("预设班",G11)))</formula>
    </cfRule>
    <cfRule type="containsText" dxfId="3" priority="116" operator="between" text="教材">
      <formula>NOT(ISERROR(SEARCH("教材",G11)))</formula>
    </cfRule>
  </conditionalFormatting>
  <conditionalFormatting sqref="H11">
    <cfRule type="containsText" dxfId="0" priority="217" operator="between" text="!">
      <formula>NOT(ISERROR(SEARCH("!",H11)))</formula>
    </cfRule>
    <cfRule type="containsText" dxfId="4" priority="218" operator="between" text="未审核">
      <formula>NOT(ISERROR(SEARCH("未审核",H11)))</formula>
    </cfRule>
    <cfRule type="containsText" dxfId="5" priority="219" operator="between" text="预设班">
      <formula>NOT(ISERROR(SEARCH("预设班",H11)))</formula>
    </cfRule>
    <cfRule type="containsText" dxfId="3" priority="220" operator="between" text="教材">
      <formula>NOT(ISERROR(SEARCH("教材",H11)))</formula>
    </cfRule>
  </conditionalFormatting>
  <conditionalFormatting sqref="E12">
    <cfRule type="containsText" dxfId="0" priority="105" operator="between" text="!">
      <formula>NOT(ISERROR(SEARCH("!",E12)))</formula>
    </cfRule>
    <cfRule type="containsText" dxfId="4" priority="106" operator="between" text="未审核">
      <formula>NOT(ISERROR(SEARCH("未审核",E12)))</formula>
    </cfRule>
    <cfRule type="containsText" dxfId="5" priority="107" operator="between" text="预设班">
      <formula>NOT(ISERROR(SEARCH("预设班",E12)))</formula>
    </cfRule>
    <cfRule type="containsText" dxfId="3" priority="108" operator="between" text="教材">
      <formula>NOT(ISERROR(SEARCH("教材",E12)))</formula>
    </cfRule>
  </conditionalFormatting>
  <conditionalFormatting sqref="G12">
    <cfRule type="containsText" dxfId="0" priority="97" operator="between" text="!">
      <formula>NOT(ISERROR(SEARCH("!",G12)))</formula>
    </cfRule>
    <cfRule type="containsText" dxfId="4" priority="98" operator="between" text="未审核">
      <formula>NOT(ISERROR(SEARCH("未审核",G12)))</formula>
    </cfRule>
    <cfRule type="containsText" dxfId="5" priority="99" operator="between" text="预设班">
      <formula>NOT(ISERROR(SEARCH("预设班",G12)))</formula>
    </cfRule>
    <cfRule type="containsText" dxfId="3" priority="100" operator="between" text="教材">
      <formula>NOT(ISERROR(SEARCH("教材",G12)))</formula>
    </cfRule>
  </conditionalFormatting>
  <conditionalFormatting sqref="H12">
    <cfRule type="containsText" dxfId="0" priority="109" operator="between" text="!">
      <formula>NOT(ISERROR(SEARCH("!",H12)))</formula>
    </cfRule>
    <cfRule type="containsText" dxfId="4" priority="110" operator="between" text="未审核">
      <formula>NOT(ISERROR(SEARCH("未审核",H12)))</formula>
    </cfRule>
    <cfRule type="containsText" dxfId="5" priority="111" operator="between" text="预设班">
      <formula>NOT(ISERROR(SEARCH("预设班",H12)))</formula>
    </cfRule>
    <cfRule type="containsText" dxfId="3" priority="112" operator="between" text="教材">
      <formula>NOT(ISERROR(SEARCH("教材",H12)))</formula>
    </cfRule>
  </conditionalFormatting>
  <conditionalFormatting sqref="D13">
    <cfRule type="containsText" dxfId="0" priority="133" operator="between" text="!">
      <formula>NOT(ISERROR(SEARCH("!",D13)))</formula>
    </cfRule>
    <cfRule type="containsText" dxfId="4" priority="134" operator="between" text="未审核">
      <formula>NOT(ISERROR(SEARCH("未审核",D13)))</formula>
    </cfRule>
    <cfRule type="containsText" dxfId="5" priority="135" operator="between" text="预设班">
      <formula>NOT(ISERROR(SEARCH("预设班",D13)))</formula>
    </cfRule>
    <cfRule type="containsText" dxfId="3" priority="136" operator="between" text="教材">
      <formula>NOT(ISERROR(SEARCH("教材",D13)))</formula>
    </cfRule>
  </conditionalFormatting>
  <conditionalFormatting sqref="E13">
    <cfRule type="containsText" dxfId="0" priority="101" operator="between" text="!">
      <formula>NOT(ISERROR(SEARCH("!",E13)))</formula>
    </cfRule>
    <cfRule type="containsText" dxfId="4" priority="102" operator="between" text="未审核">
      <formula>NOT(ISERROR(SEARCH("未审核",E13)))</formula>
    </cfRule>
    <cfRule type="containsText" dxfId="5" priority="103" operator="between" text="预设班">
      <formula>NOT(ISERROR(SEARCH("预设班",E13)))</formula>
    </cfRule>
    <cfRule type="containsText" dxfId="3" priority="104" operator="between" text="教材">
      <formula>NOT(ISERROR(SEARCH("教材",E13)))</formula>
    </cfRule>
  </conditionalFormatting>
  <conditionalFormatting sqref="F13">
    <cfRule type="containsText" dxfId="0" priority="121" operator="between" text="!">
      <formula>NOT(ISERROR(SEARCH("!",F13)))</formula>
    </cfRule>
    <cfRule type="containsText" dxfId="4" priority="122" operator="between" text="未审核">
      <formula>NOT(ISERROR(SEARCH("未审核",F13)))</formula>
    </cfRule>
    <cfRule type="containsText" dxfId="5" priority="123" operator="between" text="预设班">
      <formula>NOT(ISERROR(SEARCH("预设班",F13)))</formula>
    </cfRule>
    <cfRule type="containsText" dxfId="3" priority="124" operator="between" text="教材">
      <formula>NOT(ISERROR(SEARCH("教材",F13)))</formula>
    </cfRule>
  </conditionalFormatting>
  <conditionalFormatting sqref="G13">
    <cfRule type="containsText" dxfId="0" priority="117" operator="between" text="!">
      <formula>NOT(ISERROR(SEARCH("!",G13)))</formula>
    </cfRule>
    <cfRule type="containsText" dxfId="4" priority="118" operator="between" text="未审核">
      <formula>NOT(ISERROR(SEARCH("未审核",G13)))</formula>
    </cfRule>
    <cfRule type="containsText" dxfId="5" priority="119" operator="between" text="预设班">
      <formula>NOT(ISERROR(SEARCH("预设班",G13)))</formula>
    </cfRule>
    <cfRule type="containsText" dxfId="3" priority="120" operator="between" text="教材">
      <formula>NOT(ISERROR(SEARCH("教材",G13)))</formula>
    </cfRule>
  </conditionalFormatting>
  <conditionalFormatting sqref="D14">
    <cfRule type="containsText" dxfId="3" priority="52" operator="between" text="教材">
      <formula>NOT(ISERROR(SEARCH("教材",D14)))</formula>
    </cfRule>
    <cfRule type="containsText" dxfId="5" priority="51" operator="between" text="预设班">
      <formula>NOT(ISERROR(SEARCH("预设班",D14)))</formula>
    </cfRule>
    <cfRule type="containsText" dxfId="4" priority="50" operator="between" text="未审核">
      <formula>NOT(ISERROR(SEARCH("未审核",D14)))</formula>
    </cfRule>
    <cfRule type="containsText" dxfId="0" priority="49" operator="between" text="!">
      <formula>NOT(ISERROR(SEARCH("!",D14)))</formula>
    </cfRule>
  </conditionalFormatting>
  <conditionalFormatting sqref="E14">
    <cfRule type="containsText" dxfId="3" priority="16" operator="between" text="教材">
      <formula>NOT(ISERROR(SEARCH("教材",E14)))</formula>
    </cfRule>
    <cfRule type="containsText" dxfId="5" priority="15" operator="between" text="预设班">
      <formula>NOT(ISERROR(SEARCH("预设班",E14)))</formula>
    </cfRule>
    <cfRule type="containsText" dxfId="4" priority="14" operator="between" text="未审核">
      <formula>NOT(ISERROR(SEARCH("未审核",E14)))</formula>
    </cfRule>
    <cfRule type="containsText" dxfId="0" priority="13" operator="between" text="!">
      <formula>NOT(ISERROR(SEARCH("!",E14)))</formula>
    </cfRule>
  </conditionalFormatting>
  <conditionalFormatting sqref="F14">
    <cfRule type="containsText" dxfId="0" priority="65" operator="between" text="!">
      <formula>NOT(ISERROR(SEARCH("!",F14)))</formula>
    </cfRule>
    <cfRule type="containsText" dxfId="4" priority="66" operator="between" text="未审核">
      <formula>NOT(ISERROR(SEARCH("未审核",F14)))</formula>
    </cfRule>
    <cfRule type="containsText" dxfId="5" priority="67" operator="between" text="预设班">
      <formula>NOT(ISERROR(SEARCH("预设班",F14)))</formula>
    </cfRule>
    <cfRule type="containsText" dxfId="3" priority="68" operator="between" text="教材">
      <formula>NOT(ISERROR(SEARCH("教材",F14)))</formula>
    </cfRule>
  </conditionalFormatting>
  <conditionalFormatting sqref="G14">
    <cfRule type="containsText" dxfId="0" priority="57" operator="between" text="!">
      <formula>NOT(ISERROR(SEARCH("!",G14)))</formula>
    </cfRule>
    <cfRule type="containsText" dxfId="4" priority="58" operator="between" text="未审核">
      <formula>NOT(ISERROR(SEARCH("未审核",G14)))</formula>
    </cfRule>
    <cfRule type="containsText" dxfId="5" priority="59" operator="between" text="预设班">
      <formula>NOT(ISERROR(SEARCH("预设班",G14)))</formula>
    </cfRule>
    <cfRule type="containsText" dxfId="3" priority="60" operator="between" text="教材">
      <formula>NOT(ISERROR(SEARCH("教材",G14)))</formula>
    </cfRule>
  </conditionalFormatting>
  <conditionalFormatting sqref="D15">
    <cfRule type="containsText" dxfId="0" priority="89" operator="between" text="!">
      <formula>NOT(ISERROR(SEARCH("!",D15)))</formula>
    </cfRule>
    <cfRule type="containsText" dxfId="4" priority="90" operator="between" text="未审核">
      <formula>NOT(ISERROR(SEARCH("未审核",D15)))</formula>
    </cfRule>
    <cfRule type="containsText" dxfId="5" priority="91" operator="between" text="预设班">
      <formula>NOT(ISERROR(SEARCH("预设班",D15)))</formula>
    </cfRule>
    <cfRule type="containsText" dxfId="3" priority="92" operator="between" text="教材">
      <formula>NOT(ISERROR(SEARCH("教材",D15)))</formula>
    </cfRule>
  </conditionalFormatting>
  <conditionalFormatting sqref="E15">
    <cfRule type="containsText" dxfId="0" priority="73" operator="between" text="!">
      <formula>NOT(ISERROR(SEARCH("!",E15)))</formula>
    </cfRule>
    <cfRule type="containsText" dxfId="4" priority="74" operator="between" text="未审核">
      <formula>NOT(ISERROR(SEARCH("未审核",E15)))</formula>
    </cfRule>
    <cfRule type="containsText" dxfId="5" priority="75" operator="between" text="预设班">
      <formula>NOT(ISERROR(SEARCH("预设班",E15)))</formula>
    </cfRule>
    <cfRule type="containsText" dxfId="3" priority="76" operator="between" text="教材">
      <formula>NOT(ISERROR(SEARCH("教材",E15)))</formula>
    </cfRule>
  </conditionalFormatting>
  <conditionalFormatting sqref="F15">
    <cfRule type="containsText" dxfId="0" priority="69" operator="between" text="!">
      <formula>NOT(ISERROR(SEARCH("!",F15)))</formula>
    </cfRule>
    <cfRule type="containsText" dxfId="4" priority="70" operator="between" text="未审核">
      <formula>NOT(ISERROR(SEARCH("未审核",F15)))</formula>
    </cfRule>
    <cfRule type="containsText" dxfId="5" priority="71" operator="between" text="预设班">
      <formula>NOT(ISERROR(SEARCH("预设班",F15)))</formula>
    </cfRule>
    <cfRule type="containsText" dxfId="3" priority="72" operator="between" text="教材">
      <formula>NOT(ISERROR(SEARCH("教材",F15)))</formula>
    </cfRule>
  </conditionalFormatting>
  <conditionalFormatting sqref="D16">
    <cfRule type="containsText" dxfId="0" priority="81" operator="between" text="!">
      <formula>NOT(ISERROR(SEARCH("!",D16)))</formula>
    </cfRule>
    <cfRule type="containsText" dxfId="4" priority="82" operator="between" text="未审核">
      <formula>NOT(ISERROR(SEARCH("未审核",D16)))</formula>
    </cfRule>
    <cfRule type="containsText" dxfId="5" priority="83" operator="between" text="预设班">
      <formula>NOT(ISERROR(SEARCH("预设班",D16)))</formula>
    </cfRule>
    <cfRule type="containsText" dxfId="3" priority="84" operator="between" text="教材">
      <formula>NOT(ISERROR(SEARCH("教材",D16)))</formula>
    </cfRule>
  </conditionalFormatting>
  <conditionalFormatting sqref="G16">
    <cfRule type="containsText" dxfId="0" priority="61" operator="between" text="!">
      <formula>NOT(ISERROR(SEARCH("!",G16)))</formula>
    </cfRule>
    <cfRule type="containsText" dxfId="4" priority="62" operator="between" text="未审核">
      <formula>NOT(ISERROR(SEARCH("未审核",G16)))</formula>
    </cfRule>
    <cfRule type="containsText" dxfId="5" priority="63" operator="between" text="预设班">
      <formula>NOT(ISERROR(SEARCH("预设班",G16)))</formula>
    </cfRule>
    <cfRule type="containsText" dxfId="3" priority="64" operator="between" text="教材">
      <formula>NOT(ISERROR(SEARCH("教材",G16)))</formula>
    </cfRule>
  </conditionalFormatting>
  <conditionalFormatting sqref="D3:G3 G4 E5:G5 G8 D11 F11">
    <cfRule type="containsText" dxfId="0" priority="221" operator="between" text="!">
      <formula>NOT(ISERROR(SEARCH("!",D3)))</formula>
    </cfRule>
    <cfRule type="containsText" dxfId="4" priority="222" operator="between" text="未审核">
      <formula>NOT(ISERROR(SEARCH("未审核",D3)))</formula>
    </cfRule>
    <cfRule type="containsText" dxfId="5" priority="223" operator="between" text="预设班">
      <formula>NOT(ISERROR(SEARCH("预设班",D3)))</formula>
    </cfRule>
    <cfRule type="containsText" dxfId="3" priority="224" operator="between" text="教材">
      <formula>NOT(ISERROR(SEARCH("教材",D3)))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zoomScale="60" zoomScaleNormal="60" topLeftCell="A9" workbookViewId="0">
      <selection activeCell="L6" sqref="L6"/>
    </sheetView>
  </sheetViews>
  <sheetFormatPr defaultColWidth="9.22727272727273" defaultRowHeight="14"/>
  <cols>
    <col min="1" max="1" width="7.84545454545455" customWidth="1"/>
    <col min="2" max="3" width="10.8909090909091" customWidth="1"/>
    <col min="4" max="4" width="16.1909090909091" customWidth="1"/>
    <col min="5" max="5" width="18.4272727272727" customWidth="1"/>
    <col min="6" max="6" width="17.9454545454545" customWidth="1"/>
    <col min="7" max="7" width="17.9545454545455" customWidth="1"/>
    <col min="8" max="8" width="16.8272727272727" customWidth="1"/>
  </cols>
  <sheetData>
    <row r="1" ht="68" customHeight="1" spans="1:19">
      <c r="A1" s="54" t="s">
        <v>507</v>
      </c>
      <c r="B1" s="55"/>
      <c r="C1" s="55"/>
      <c r="D1" s="55"/>
      <c r="E1" s="55"/>
      <c r="F1" s="55"/>
      <c r="G1" s="56"/>
      <c r="H1" s="57"/>
    </row>
    <row r="2" ht="14.5" spans="1:19">
      <c r="A2" s="58" t="s">
        <v>53</v>
      </c>
      <c r="B2" s="58" t="s">
        <v>3</v>
      </c>
      <c r="C2" s="58" t="s">
        <v>54</v>
      </c>
      <c r="D2" s="58" t="s">
        <v>6</v>
      </c>
      <c r="E2" s="58" t="s">
        <v>7</v>
      </c>
      <c r="F2" s="58" t="s">
        <v>242</v>
      </c>
      <c r="G2" s="58" t="s">
        <v>243</v>
      </c>
      <c r="H2" s="58" t="s">
        <v>10</v>
      </c>
    </row>
    <row r="3" ht="57" customHeight="1" spans="1:19">
      <c r="A3" s="59" t="s">
        <v>66</v>
      </c>
      <c r="B3" s="60" t="s">
        <v>470</v>
      </c>
      <c r="C3" s="60" t="s">
        <v>816</v>
      </c>
      <c r="D3" s="18"/>
      <c r="E3" s="18" t="s">
        <v>817</v>
      </c>
      <c r="F3" s="18"/>
      <c r="G3" s="18"/>
      <c r="H3" s="34"/>
    </row>
    <row r="4" ht="63" customHeight="1" spans="1:19">
      <c r="A4" s="59"/>
      <c r="B4" s="61"/>
      <c r="C4" s="61"/>
      <c r="D4" s="62" t="s">
        <v>818</v>
      </c>
      <c r="E4" s="18" t="s">
        <v>819</v>
      </c>
      <c r="F4" s="18" t="s">
        <v>820</v>
      </c>
      <c r="G4" s="18" t="s">
        <v>821</v>
      </c>
      <c r="H4" s="18" t="s">
        <v>822</v>
      </c>
    </row>
    <row r="5" ht="64" customHeight="1" spans="1:19">
      <c r="A5" s="59"/>
      <c r="B5" s="60" t="s">
        <v>479</v>
      </c>
      <c r="C5" s="60" t="s">
        <v>823</v>
      </c>
      <c r="D5" s="18" t="s">
        <v>824</v>
      </c>
      <c r="E5" s="62" t="s">
        <v>825</v>
      </c>
      <c r="F5" s="18"/>
      <c r="G5" s="18"/>
      <c r="H5" s="34"/>
      <c r="I5"/>
      <c r="J5"/>
      <c r="K5"/>
      <c r="Q5" t="s">
        <v>693</v>
      </c>
    </row>
    <row r="6" s="53" customFormat="1" ht="58" customHeight="1" spans="1:19">
      <c r="A6" s="32"/>
      <c r="B6" s="63"/>
      <c r="C6" s="63"/>
      <c r="D6" s="18" t="s">
        <v>826</v>
      </c>
      <c r="E6" s="18" t="s">
        <v>827</v>
      </c>
      <c r="F6" s="18" t="s">
        <v>828</v>
      </c>
      <c r="G6" s="18" t="s">
        <v>829</v>
      </c>
      <c r="H6" s="34"/>
    </row>
    <row r="7" ht="64" customHeight="1" spans="1:19">
      <c r="A7" s="59"/>
      <c r="B7" s="61"/>
      <c r="C7" s="61"/>
      <c r="D7" s="20" t="s">
        <v>830</v>
      </c>
      <c r="E7" s="18" t="s">
        <v>831</v>
      </c>
      <c r="F7" s="18" t="s">
        <v>832</v>
      </c>
      <c r="G7" s="18"/>
      <c r="H7" s="34"/>
    </row>
    <row r="8" ht="58" customHeight="1" spans="1:19">
      <c r="A8" s="59"/>
      <c r="B8" s="61"/>
      <c r="C8" s="61"/>
      <c r="D8" s="64"/>
      <c r="E8" s="18" t="s">
        <v>833</v>
      </c>
      <c r="F8" s="18"/>
      <c r="G8" s="18"/>
      <c r="H8" s="34"/>
    </row>
    <row r="9" ht="44" customHeight="1" spans="1:19">
      <c r="A9" s="59"/>
      <c r="B9" s="60" t="s">
        <v>23</v>
      </c>
      <c r="C9" s="60" t="s">
        <v>523</v>
      </c>
      <c r="D9" s="65" t="s">
        <v>834</v>
      </c>
      <c r="E9" s="20" t="s">
        <v>835</v>
      </c>
      <c r="F9" s="20" t="s">
        <v>836</v>
      </c>
      <c r="G9" s="20" t="s">
        <v>837</v>
      </c>
      <c r="H9" s="20" t="s">
        <v>838</v>
      </c>
      <c r="K9" s="66"/>
      <c r="L9" s="66"/>
      <c r="M9" s="66"/>
      <c r="N9" s="66"/>
      <c r="O9" s="66"/>
      <c r="P9" s="66"/>
      <c r="Q9" s="66"/>
      <c r="R9" s="66"/>
      <c r="S9" s="66"/>
    </row>
    <row r="10" ht="17" customHeight="1" spans="1:19">
      <c r="A10" s="59"/>
      <c r="B10" s="61"/>
      <c r="C10" s="61"/>
      <c r="D10" s="67"/>
      <c r="E10" s="64"/>
      <c r="F10" s="64"/>
      <c r="G10" s="64"/>
      <c r="H10" s="64"/>
      <c r="K10" s="66"/>
      <c r="L10" s="66"/>
      <c r="M10" s="66"/>
      <c r="N10" s="66"/>
      <c r="O10" s="66"/>
      <c r="P10" s="66"/>
      <c r="Q10" s="66"/>
      <c r="R10" s="66"/>
      <c r="S10" s="66"/>
    </row>
    <row r="11" ht="61" customHeight="1" spans="1:19">
      <c r="A11" s="59"/>
      <c r="B11" s="61"/>
      <c r="C11" s="68"/>
      <c r="D11" s="18"/>
      <c r="E11" s="18" t="s">
        <v>839</v>
      </c>
      <c r="F11" s="18"/>
      <c r="G11" s="18"/>
      <c r="H11" s="18"/>
      <c r="K11" t="s">
        <v>840</v>
      </c>
    </row>
    <row r="12" ht="68" customHeight="1" spans="1:19">
      <c r="A12" s="59"/>
      <c r="B12" s="61"/>
      <c r="C12" s="61" t="s">
        <v>533</v>
      </c>
      <c r="D12" s="18" t="s">
        <v>841</v>
      </c>
      <c r="E12" s="18"/>
      <c r="F12" s="18"/>
      <c r="G12" s="18"/>
      <c r="H12" s="18"/>
    </row>
    <row r="13" ht="58" customHeight="1" spans="1:19">
      <c r="A13" s="59"/>
      <c r="B13" s="61"/>
      <c r="C13" s="61"/>
      <c r="D13" s="18" t="s">
        <v>842</v>
      </c>
      <c r="E13" s="18" t="s">
        <v>843</v>
      </c>
      <c r="F13" s="18" t="s">
        <v>844</v>
      </c>
      <c r="G13" s="18" t="s">
        <v>845</v>
      </c>
      <c r="H13" s="18"/>
    </row>
    <row r="14" ht="65" customHeight="1" spans="1:19">
      <c r="A14" s="59"/>
      <c r="B14" s="61"/>
      <c r="C14" s="61"/>
      <c r="D14" s="18" t="s">
        <v>846</v>
      </c>
      <c r="E14" s="18" t="s">
        <v>847</v>
      </c>
      <c r="F14" s="18" t="s">
        <v>848</v>
      </c>
      <c r="G14" s="18"/>
      <c r="H14" s="18"/>
    </row>
    <row r="15" ht="58" customHeight="1" spans="1:19">
      <c r="A15" s="59"/>
      <c r="B15" s="68"/>
      <c r="C15" s="68"/>
      <c r="D15" s="18"/>
      <c r="E15" s="18" t="s">
        <v>849</v>
      </c>
      <c r="F15" s="18"/>
      <c r="G15" s="18"/>
      <c r="H15" s="18"/>
    </row>
    <row r="16" ht="25" customHeight="1"/>
    <row r="17" ht="25" customHeight="1"/>
    <row r="18" ht="25" customHeight="1"/>
    <row r="19" ht="25" customHeight="1"/>
    <row r="20" ht="75" customHeight="1" spans="1:8">
      <c r="A20" s="54" t="s">
        <v>507</v>
      </c>
      <c r="B20" s="55"/>
      <c r="C20" s="55"/>
      <c r="D20" s="55"/>
      <c r="E20" s="55"/>
      <c r="F20" s="55"/>
      <c r="G20" s="56"/>
      <c r="H20" s="57"/>
    </row>
    <row r="21" ht="14.5" spans="1:8">
      <c r="A21" s="58" t="s">
        <v>53</v>
      </c>
      <c r="B21" s="58" t="s">
        <v>3</v>
      </c>
      <c r="C21" s="58" t="s">
        <v>54</v>
      </c>
      <c r="D21" s="58" t="s">
        <v>6</v>
      </c>
      <c r="E21" s="58" t="s">
        <v>7</v>
      </c>
      <c r="F21" s="58" t="s">
        <v>242</v>
      </c>
      <c r="G21" s="58" t="s">
        <v>243</v>
      </c>
      <c r="H21" s="58" t="s">
        <v>10</v>
      </c>
    </row>
    <row r="22" ht="43.5" spans="1:8">
      <c r="A22" s="59" t="s">
        <v>66</v>
      </c>
      <c r="B22" s="60" t="s">
        <v>470</v>
      </c>
      <c r="C22" s="60" t="s">
        <v>816</v>
      </c>
      <c r="D22" s="18"/>
      <c r="E22" s="18" t="s">
        <v>850</v>
      </c>
      <c r="F22" s="18"/>
      <c r="G22" s="18"/>
      <c r="H22" s="34"/>
    </row>
    <row r="23" ht="58" spans="1:8">
      <c r="A23" s="59"/>
      <c r="B23" s="61"/>
      <c r="C23" s="61"/>
      <c r="D23" s="18" t="s">
        <v>851</v>
      </c>
      <c r="E23" s="18" t="s">
        <v>819</v>
      </c>
      <c r="F23" s="18" t="s">
        <v>852</v>
      </c>
      <c r="G23" s="18" t="s">
        <v>853</v>
      </c>
      <c r="H23" s="18" t="s">
        <v>822</v>
      </c>
    </row>
    <row r="24" ht="58" spans="1:8">
      <c r="A24" s="59"/>
      <c r="B24" s="60" t="s">
        <v>479</v>
      </c>
      <c r="C24" s="60" t="s">
        <v>823</v>
      </c>
      <c r="D24" s="18" t="s">
        <v>854</v>
      </c>
      <c r="E24" s="18"/>
      <c r="F24" s="18"/>
      <c r="G24" s="18"/>
      <c r="H24" s="34"/>
    </row>
    <row r="25" ht="58" spans="1:8">
      <c r="A25" s="59"/>
      <c r="B25" s="61"/>
      <c r="C25" s="61"/>
      <c r="D25" s="18" t="s">
        <v>826</v>
      </c>
      <c r="E25" s="69" t="s">
        <v>855</v>
      </c>
      <c r="F25" s="69" t="s">
        <v>856</v>
      </c>
      <c r="G25" s="18" t="s">
        <v>829</v>
      </c>
      <c r="H25" s="34"/>
    </row>
    <row r="26" ht="52" customHeight="1" spans="1:8">
      <c r="A26" s="59"/>
      <c r="B26" s="61"/>
      <c r="C26" s="61"/>
      <c r="D26" s="20" t="s">
        <v>830</v>
      </c>
      <c r="E26" s="18" t="s">
        <v>831</v>
      </c>
      <c r="F26" s="18" t="s">
        <v>832</v>
      </c>
      <c r="G26" s="18"/>
      <c r="H26" s="34"/>
    </row>
    <row r="27" ht="54" customHeight="1" spans="1:8">
      <c r="A27" s="59"/>
      <c r="B27" s="61"/>
      <c r="C27" s="61"/>
      <c r="D27" s="64"/>
      <c r="E27" s="18" t="s">
        <v>833</v>
      </c>
      <c r="F27" s="18"/>
      <c r="G27" s="18"/>
      <c r="H27" s="34"/>
    </row>
    <row r="28" spans="1:8">
      <c r="A28" s="59"/>
      <c r="B28" s="60" t="s">
        <v>23</v>
      </c>
      <c r="C28" s="60" t="s">
        <v>523</v>
      </c>
      <c r="D28" s="20" t="s">
        <v>857</v>
      </c>
      <c r="E28" s="20" t="s">
        <v>835</v>
      </c>
      <c r="F28" s="20" t="s">
        <v>836</v>
      </c>
      <c r="G28" s="20" t="s">
        <v>837</v>
      </c>
      <c r="H28" s="20" t="s">
        <v>838</v>
      </c>
    </row>
    <row r="29" ht="49" customHeight="1" spans="1:8">
      <c r="A29" s="59"/>
      <c r="B29" s="61"/>
      <c r="C29" s="61"/>
      <c r="D29" s="64"/>
      <c r="E29" s="64"/>
      <c r="F29" s="64"/>
      <c r="G29" s="64"/>
      <c r="H29" s="64"/>
    </row>
    <row r="30" ht="58" spans="1:8">
      <c r="A30" s="59"/>
      <c r="B30" s="61"/>
      <c r="C30" s="68"/>
      <c r="D30" s="18"/>
      <c r="E30" s="18" t="s">
        <v>858</v>
      </c>
      <c r="F30" s="18"/>
      <c r="G30" s="18"/>
      <c r="H30" s="18"/>
    </row>
    <row r="31" ht="60" customHeight="1" spans="1:8">
      <c r="A31" s="59"/>
      <c r="B31" s="61"/>
      <c r="C31" s="61" t="s">
        <v>533</v>
      </c>
      <c r="D31" s="18" t="s">
        <v>841</v>
      </c>
      <c r="E31" s="18"/>
      <c r="F31" s="18"/>
      <c r="G31" s="18"/>
      <c r="H31" s="18"/>
    </row>
    <row r="32" ht="64" customHeight="1" spans="1:8">
      <c r="A32" s="59"/>
      <c r="B32" s="61"/>
      <c r="C32" s="61"/>
      <c r="D32" s="18" t="s">
        <v>842</v>
      </c>
      <c r="E32" s="69" t="s">
        <v>859</v>
      </c>
      <c r="F32" s="69" t="s">
        <v>844</v>
      </c>
      <c r="G32" s="18" t="s">
        <v>845</v>
      </c>
      <c r="H32" s="18"/>
    </row>
    <row r="33" ht="56" customHeight="1" spans="1:8">
      <c r="A33" s="59"/>
      <c r="B33" s="61"/>
      <c r="C33" s="61"/>
      <c r="D33" s="18" t="s">
        <v>846</v>
      </c>
      <c r="E33" s="18" t="s">
        <v>847</v>
      </c>
      <c r="F33" s="18" t="s">
        <v>848</v>
      </c>
      <c r="G33" s="18"/>
      <c r="H33" s="18"/>
    </row>
    <row r="34" ht="53" customHeight="1" spans="1:8">
      <c r="A34" s="59"/>
      <c r="B34" s="68"/>
      <c r="C34" s="68"/>
      <c r="D34" s="18"/>
      <c r="E34" s="18" t="s">
        <v>849</v>
      </c>
      <c r="F34" s="18"/>
      <c r="G34" s="18"/>
      <c r="H34" s="18"/>
    </row>
  </sheetData>
  <mergeCells count="30">
    <mergeCell ref="A1:G1"/>
    <mergeCell ref="A20:G20"/>
    <mergeCell ref="A3:A15"/>
    <mergeCell ref="A22:A34"/>
    <mergeCell ref="B3:B4"/>
    <mergeCell ref="B5:B8"/>
    <mergeCell ref="B9:B15"/>
    <mergeCell ref="B22:B23"/>
    <mergeCell ref="B24:B27"/>
    <mergeCell ref="B28:B34"/>
    <mergeCell ref="C3:C4"/>
    <mergeCell ref="C5:C8"/>
    <mergeCell ref="C9:C11"/>
    <mergeCell ref="C12:C15"/>
    <mergeCell ref="C22:C23"/>
    <mergeCell ref="C24:C27"/>
    <mergeCell ref="C28:C30"/>
    <mergeCell ref="C31:C34"/>
    <mergeCell ref="D7:D8"/>
    <mergeCell ref="D9:D10"/>
    <mergeCell ref="D26:D27"/>
    <mergeCell ref="D28:D29"/>
    <mergeCell ref="E9:E10"/>
    <mergeCell ref="E28:E29"/>
    <mergeCell ref="F9:F10"/>
    <mergeCell ref="F28:F29"/>
    <mergeCell ref="G9:G10"/>
    <mergeCell ref="G28:G29"/>
    <mergeCell ref="H9:H10"/>
    <mergeCell ref="H28:H29"/>
  </mergeCells>
  <conditionalFormatting sqref="H4">
    <cfRule type="containsText" dxfId="0" priority="269" operator="between" text="!">
      <formula>NOT(ISERROR(SEARCH("!",H4)))</formula>
    </cfRule>
    <cfRule type="containsText" dxfId="4" priority="270" operator="between" text="未审核">
      <formula>NOT(ISERROR(SEARCH("未审核",H4)))</formula>
    </cfRule>
    <cfRule type="containsText" dxfId="5" priority="271" operator="between" text="预设班">
      <formula>NOT(ISERROR(SEARCH("预设班",H4)))</formula>
    </cfRule>
    <cfRule type="containsText" dxfId="3" priority="272" operator="between" text="教材">
      <formula>NOT(ISERROR(SEARCH("教材",H4)))</formula>
    </cfRule>
  </conditionalFormatting>
  <conditionalFormatting sqref="E6">
    <cfRule type="containsText" dxfId="0" priority="265" operator="between" text="!">
      <formula>NOT(ISERROR(SEARCH("!",E6)))</formula>
    </cfRule>
    <cfRule type="containsText" dxfId="4" priority="266" operator="between" text="未审核">
      <formula>NOT(ISERROR(SEARCH("未审核",E6)))</formula>
    </cfRule>
    <cfRule type="containsText" dxfId="5" priority="267" operator="between" text="预设班">
      <formula>NOT(ISERROR(SEARCH("预设班",E6)))</formula>
    </cfRule>
    <cfRule type="containsText" dxfId="3" priority="268" operator="between" text="教材">
      <formula>NOT(ISERROR(SEARCH("教材",E6)))</formula>
    </cfRule>
  </conditionalFormatting>
  <conditionalFormatting sqref="F6">
    <cfRule type="containsText" dxfId="0" priority="257" operator="between" text="!">
      <formula>NOT(ISERROR(SEARCH("!",F6)))</formula>
    </cfRule>
    <cfRule type="containsText" dxfId="4" priority="258" operator="between" text="未审核">
      <formula>NOT(ISERROR(SEARCH("未审核",F6)))</formula>
    </cfRule>
    <cfRule type="containsText" dxfId="5" priority="259" operator="between" text="预设班">
      <formula>NOT(ISERROR(SEARCH("预设班",F6)))</formula>
    </cfRule>
    <cfRule type="containsText" dxfId="3" priority="260" operator="between" text="教材">
      <formula>NOT(ISERROR(SEARCH("教材",F6)))</formula>
    </cfRule>
  </conditionalFormatting>
  <conditionalFormatting sqref="G6">
    <cfRule type="containsText" dxfId="0" priority="253" operator="between" text="!">
      <formula>NOT(ISERROR(SEARCH("!",G6)))</formula>
    </cfRule>
    <cfRule type="containsText" dxfId="4" priority="254" operator="between" text="未审核">
      <formula>NOT(ISERROR(SEARCH("未审核",G6)))</formula>
    </cfRule>
    <cfRule type="containsText" dxfId="5" priority="255" operator="between" text="预设班">
      <formula>NOT(ISERROR(SEARCH("预设班",G6)))</formula>
    </cfRule>
    <cfRule type="containsText" dxfId="3" priority="256" operator="between" text="教材">
      <formula>NOT(ISERROR(SEARCH("教材",G6)))</formula>
    </cfRule>
  </conditionalFormatting>
  <conditionalFormatting sqref="D7">
    <cfRule type="containsText" dxfId="0" priority="209" operator="between" text="!">
      <formula>NOT(ISERROR(SEARCH("!",D7)))</formula>
    </cfRule>
    <cfRule type="containsText" dxfId="4" priority="210" operator="between" text="未审核">
      <formula>NOT(ISERROR(SEARCH("未审核",D7)))</formula>
    </cfRule>
    <cfRule type="containsText" dxfId="5" priority="211" operator="between" text="预设班">
      <formula>NOT(ISERROR(SEARCH("预设班",D7)))</formula>
    </cfRule>
    <cfRule type="containsText" dxfId="3" priority="212" operator="between" text="教材">
      <formula>NOT(ISERROR(SEARCH("教材",D7)))</formula>
    </cfRule>
  </conditionalFormatting>
  <conditionalFormatting sqref="F7">
    <cfRule type="containsText" dxfId="0" priority="261" operator="between" text="!">
      <formula>NOT(ISERROR(SEARCH("!",F7)))</formula>
    </cfRule>
    <cfRule type="containsText" dxfId="4" priority="262" operator="between" text="未审核">
      <formula>NOT(ISERROR(SEARCH("未审核",F7)))</formula>
    </cfRule>
    <cfRule type="containsText" dxfId="5" priority="263" operator="between" text="预设班">
      <formula>NOT(ISERROR(SEARCH("预设班",F7)))</formula>
    </cfRule>
    <cfRule type="containsText" dxfId="3" priority="264" operator="between" text="教材">
      <formula>NOT(ISERROR(SEARCH("教材",F7)))</formula>
    </cfRule>
  </conditionalFormatting>
  <conditionalFormatting sqref="D9">
    <cfRule type="containsText" dxfId="0" priority="249" operator="between" text="!">
      <formula>NOT(ISERROR(SEARCH("!",D9)))</formula>
    </cfRule>
    <cfRule type="containsText" dxfId="4" priority="250" operator="between" text="未审核">
      <formula>NOT(ISERROR(SEARCH("未审核",D9)))</formula>
    </cfRule>
    <cfRule type="containsText" dxfId="5" priority="251" operator="between" text="预设班">
      <formula>NOT(ISERROR(SEARCH("预设班",D9)))</formula>
    </cfRule>
    <cfRule type="containsText" dxfId="3" priority="252" operator="between" text="教材">
      <formula>NOT(ISERROR(SEARCH("教材",D9)))</formula>
    </cfRule>
  </conditionalFormatting>
  <conditionalFormatting sqref="F9">
    <cfRule type="containsText" dxfId="3" priority="116" operator="between" text="教材">
      <formula>NOT(ISERROR(SEARCH("教材",F9)))</formula>
    </cfRule>
    <cfRule type="containsText" dxfId="5" priority="113" operator="between" text="预设班">
      <formula>NOT(ISERROR(SEARCH("预设班",F9)))</formula>
    </cfRule>
    <cfRule type="containsText" dxfId="4" priority="110" operator="between" text="未审核">
      <formula>NOT(ISERROR(SEARCH("未审核",F9)))</formula>
    </cfRule>
    <cfRule type="containsText" dxfId="0" priority="107" operator="between" text="!">
      <formula>NOT(ISERROR(SEARCH("!",F9)))</formula>
    </cfRule>
  </conditionalFormatting>
  <conditionalFormatting sqref="G9">
    <cfRule type="containsText" dxfId="3" priority="115" operator="between" text="教材">
      <formula>NOT(ISERROR(SEARCH("教材",G9)))</formula>
    </cfRule>
    <cfRule type="containsText" dxfId="5" priority="112" operator="between" text="预设班">
      <formula>NOT(ISERROR(SEARCH("预设班",G9)))</formula>
    </cfRule>
    <cfRule type="containsText" dxfId="4" priority="109" operator="between" text="未审核">
      <formula>NOT(ISERROR(SEARCH("未审核",G9)))</formula>
    </cfRule>
    <cfRule type="containsText" dxfId="0" priority="106" operator="between" text="!">
      <formula>NOT(ISERROR(SEARCH("!",G9)))</formula>
    </cfRule>
  </conditionalFormatting>
  <conditionalFormatting sqref="H9">
    <cfRule type="containsText" dxfId="3" priority="114" operator="between" text="教材">
      <formula>NOT(ISERROR(SEARCH("教材",H9)))</formula>
    </cfRule>
    <cfRule type="containsText" dxfId="5" priority="111" operator="between" text="预设班">
      <formula>NOT(ISERROR(SEARCH("预设班",H9)))</formula>
    </cfRule>
    <cfRule type="containsText" dxfId="4" priority="108" operator="between" text="未审核">
      <formula>NOT(ISERROR(SEARCH("未审核",H9)))</formula>
    </cfRule>
    <cfRule type="containsText" dxfId="0" priority="105" operator="between" text="!">
      <formula>NOT(ISERROR(SEARCH("!",H9)))</formula>
    </cfRule>
  </conditionalFormatting>
  <conditionalFormatting sqref="D11">
    <cfRule type="containsText" dxfId="0" priority="281" operator="between" text="!">
      <formula>NOT(ISERROR(SEARCH("!",D11)))</formula>
    </cfRule>
    <cfRule type="containsText" dxfId="4" priority="282" operator="between" text="未审核">
      <formula>NOT(ISERROR(SEARCH("未审核",D11)))</formula>
    </cfRule>
    <cfRule type="containsText" dxfId="5" priority="283" operator="between" text="预设班">
      <formula>NOT(ISERROR(SEARCH("预设班",D11)))</formula>
    </cfRule>
    <cfRule type="containsText" dxfId="3" priority="284" operator="between" text="教材">
      <formula>NOT(ISERROR(SEARCH("教材",D11)))</formula>
    </cfRule>
  </conditionalFormatting>
  <conditionalFormatting sqref="G11">
    <cfRule type="containsText" dxfId="0" priority="297" operator="between" text="!">
      <formula>NOT(ISERROR(SEARCH("!",G11)))</formula>
    </cfRule>
    <cfRule type="containsText" dxfId="4" priority="298" operator="between" text="未审核">
      <formula>NOT(ISERROR(SEARCH("未审核",G11)))</formula>
    </cfRule>
    <cfRule type="containsText" dxfId="5" priority="299" operator="between" text="预设班">
      <formula>NOT(ISERROR(SEARCH("预设班",G11)))</formula>
    </cfRule>
    <cfRule type="containsText" dxfId="3" priority="300" operator="between" text="教材">
      <formula>NOT(ISERROR(SEARCH("教材",G11)))</formula>
    </cfRule>
  </conditionalFormatting>
  <conditionalFormatting sqref="E13">
    <cfRule type="containsText" dxfId="0" priority="225" operator="between" text="!">
      <formula>NOT(ISERROR(SEARCH("!",E13)))</formula>
    </cfRule>
    <cfRule type="containsText" dxfId="4" priority="226" operator="between" text="未审核">
      <formula>NOT(ISERROR(SEARCH("未审核",E13)))</formula>
    </cfRule>
    <cfRule type="containsText" dxfId="5" priority="227" operator="between" text="预设班">
      <formula>NOT(ISERROR(SEARCH("预设班",E13)))</formula>
    </cfRule>
    <cfRule type="containsText" dxfId="3" priority="228" operator="between" text="教材">
      <formula>NOT(ISERROR(SEARCH("教材",E13)))</formula>
    </cfRule>
  </conditionalFormatting>
  <conditionalFormatting sqref="F13">
    <cfRule type="containsText" dxfId="0" priority="217" operator="between" text="!">
      <formula>NOT(ISERROR(SEARCH("!",F13)))</formula>
    </cfRule>
    <cfRule type="containsText" dxfId="4" priority="218" operator="between" text="未审核">
      <formula>NOT(ISERROR(SEARCH("未审核",F13)))</formula>
    </cfRule>
    <cfRule type="containsText" dxfId="5" priority="219" operator="between" text="预设班">
      <formula>NOT(ISERROR(SEARCH("预设班",F13)))</formula>
    </cfRule>
    <cfRule type="containsText" dxfId="3" priority="220" operator="between" text="教材">
      <formula>NOT(ISERROR(SEARCH("教材",F13)))</formula>
    </cfRule>
  </conditionalFormatting>
  <conditionalFormatting sqref="G13">
    <cfRule type="containsText" dxfId="0" priority="213" operator="between" text="!">
      <formula>NOT(ISERROR(SEARCH("!",G13)))</formula>
    </cfRule>
    <cfRule type="containsText" dxfId="4" priority="214" operator="between" text="未审核">
      <formula>NOT(ISERROR(SEARCH("未审核",G13)))</formula>
    </cfRule>
    <cfRule type="containsText" dxfId="5" priority="215" operator="between" text="预设班">
      <formula>NOT(ISERROR(SEARCH("预设班",G13)))</formula>
    </cfRule>
    <cfRule type="containsText" dxfId="3" priority="216" operator="between" text="教材">
      <formula>NOT(ISERROR(SEARCH("教材",G13)))</formula>
    </cfRule>
  </conditionalFormatting>
  <conditionalFormatting sqref="F14">
    <cfRule type="containsText" dxfId="0" priority="221" operator="between" text="!">
      <formula>NOT(ISERROR(SEARCH("!",F14)))</formula>
    </cfRule>
    <cfRule type="containsText" dxfId="4" priority="222" operator="between" text="未审核">
      <formula>NOT(ISERROR(SEARCH("未审核",F14)))</formula>
    </cfRule>
    <cfRule type="containsText" dxfId="5" priority="223" operator="between" text="预设班">
      <formula>NOT(ISERROR(SEARCH("预设班",F14)))</formula>
    </cfRule>
    <cfRule type="containsText" dxfId="3" priority="224" operator="between" text="教材">
      <formula>NOT(ISERROR(SEARCH("教材",F14)))</formula>
    </cfRule>
  </conditionalFormatting>
  <conditionalFormatting sqref="H23">
    <cfRule type="containsText" dxfId="3" priority="100" operator="between" text="教材">
      <formula>NOT(ISERROR(SEARCH("教材",H23)))</formula>
    </cfRule>
    <cfRule type="containsText" dxfId="5" priority="99" operator="between" text="预设班">
      <formula>NOT(ISERROR(SEARCH("预设班",H23)))</formula>
    </cfRule>
    <cfRule type="containsText" dxfId="4" priority="98" operator="between" text="未审核">
      <formula>NOT(ISERROR(SEARCH("未审核",H23)))</formula>
    </cfRule>
    <cfRule type="containsText" dxfId="0" priority="97" operator="between" text="!">
      <formula>NOT(ISERROR(SEARCH("!",H23)))</formula>
    </cfRule>
  </conditionalFormatting>
  <conditionalFormatting sqref="E25">
    <cfRule type="containsText" dxfId="3" priority="84" operator="between" text="教材">
      <formula>NOT(ISERROR(SEARCH("教材",E25)))</formula>
    </cfRule>
    <cfRule type="containsText" dxfId="5" priority="83" operator="between" text="预设班">
      <formula>NOT(ISERROR(SEARCH("预设班",E25)))</formula>
    </cfRule>
    <cfRule type="containsText" dxfId="4" priority="82" operator="between" text="未审核">
      <formula>NOT(ISERROR(SEARCH("未审核",E25)))</formula>
    </cfRule>
    <cfRule type="containsText" dxfId="0" priority="81" operator="between" text="!">
      <formula>NOT(ISERROR(SEARCH("!",E25)))</formula>
    </cfRule>
  </conditionalFormatting>
  <conditionalFormatting sqref="F25">
    <cfRule type="containsText" dxfId="3" priority="76" operator="between" text="教材">
      <formula>NOT(ISERROR(SEARCH("教材",F25)))</formula>
    </cfRule>
    <cfRule type="containsText" dxfId="5" priority="75" operator="between" text="预设班">
      <formula>NOT(ISERROR(SEARCH("预设班",F25)))</formula>
    </cfRule>
    <cfRule type="containsText" dxfId="4" priority="74" operator="between" text="未审核">
      <formula>NOT(ISERROR(SEARCH("未审核",F25)))</formula>
    </cfRule>
    <cfRule type="containsText" dxfId="0" priority="73" operator="between" text="!">
      <formula>NOT(ISERROR(SEARCH("!",F25)))</formula>
    </cfRule>
  </conditionalFormatting>
  <conditionalFormatting sqref="G25">
    <cfRule type="containsText" dxfId="3" priority="72" operator="between" text="教材">
      <formula>NOT(ISERROR(SEARCH("教材",G25)))</formula>
    </cfRule>
    <cfRule type="containsText" dxfId="5" priority="71" operator="between" text="预设班">
      <formula>NOT(ISERROR(SEARCH("预设班",G25)))</formula>
    </cfRule>
    <cfRule type="containsText" dxfId="4" priority="70" operator="between" text="未审核">
      <formula>NOT(ISERROR(SEARCH("未审核",G25)))</formula>
    </cfRule>
    <cfRule type="containsText" dxfId="0" priority="69" operator="between" text="!">
      <formula>NOT(ISERROR(SEARCH("!",G25)))</formula>
    </cfRule>
  </conditionalFormatting>
  <conditionalFormatting sqref="D26">
    <cfRule type="containsText" dxfId="3" priority="68" operator="between" text="教材">
      <formula>NOT(ISERROR(SEARCH("教材",D26)))</formula>
    </cfRule>
    <cfRule type="containsText" dxfId="5" priority="67" operator="between" text="预设班">
      <formula>NOT(ISERROR(SEARCH("预设班",D26)))</formula>
    </cfRule>
    <cfRule type="containsText" dxfId="4" priority="66" operator="between" text="未审核">
      <formula>NOT(ISERROR(SEARCH("未审核",D26)))</formula>
    </cfRule>
    <cfRule type="containsText" dxfId="0" priority="65" operator="between" text="!">
      <formula>NOT(ISERROR(SEARCH("!",D26)))</formula>
    </cfRule>
  </conditionalFormatting>
  <conditionalFormatting sqref="F26">
    <cfRule type="containsText" dxfId="3" priority="80" operator="between" text="教材">
      <formula>NOT(ISERROR(SEARCH("教材",F26)))</formula>
    </cfRule>
    <cfRule type="containsText" dxfId="5" priority="79" operator="between" text="预设班">
      <formula>NOT(ISERROR(SEARCH("预设班",F26)))</formula>
    </cfRule>
    <cfRule type="containsText" dxfId="4" priority="78" operator="between" text="未审核">
      <formula>NOT(ISERROR(SEARCH("未审核",F26)))</formula>
    </cfRule>
    <cfRule type="containsText" dxfId="0" priority="77" operator="between" text="!">
      <formula>NOT(ISERROR(SEARCH("!",F26)))</formula>
    </cfRule>
  </conditionalFormatting>
  <conditionalFormatting sqref="D28">
    <cfRule type="containsText" dxfId="3" priority="52" operator="between" text="教材">
      <formula>NOT(ISERROR(SEARCH("教材",D28)))</formula>
    </cfRule>
    <cfRule type="containsText" dxfId="5" priority="51" operator="between" text="预设班">
      <formula>NOT(ISERROR(SEARCH("预设班",D28)))</formula>
    </cfRule>
    <cfRule type="containsText" dxfId="4" priority="50" operator="between" text="未审核">
      <formula>NOT(ISERROR(SEARCH("未审核",D28)))</formula>
    </cfRule>
    <cfRule type="containsText" dxfId="0" priority="49" operator="between" text="!">
      <formula>NOT(ISERROR(SEARCH("!",D28)))</formula>
    </cfRule>
  </conditionalFormatting>
  <conditionalFormatting sqref="F28">
    <cfRule type="containsText" dxfId="3" priority="48" operator="between" text="教材">
      <formula>NOT(ISERROR(SEARCH("教材",F28)))</formula>
    </cfRule>
    <cfRule type="containsText" dxfId="5" priority="45" operator="between" text="预设班">
      <formula>NOT(ISERROR(SEARCH("预设班",F28)))</formula>
    </cfRule>
    <cfRule type="containsText" dxfId="4" priority="42" operator="between" text="未审核">
      <formula>NOT(ISERROR(SEARCH("未审核",F28)))</formula>
    </cfRule>
    <cfRule type="containsText" dxfId="0" priority="39" operator="between" text="!">
      <formula>NOT(ISERROR(SEARCH("!",F28)))</formula>
    </cfRule>
  </conditionalFormatting>
  <conditionalFormatting sqref="G28">
    <cfRule type="containsText" dxfId="3" priority="47" operator="between" text="教材">
      <formula>NOT(ISERROR(SEARCH("教材",G28)))</formula>
    </cfRule>
    <cfRule type="containsText" dxfId="5" priority="44" operator="between" text="预设班">
      <formula>NOT(ISERROR(SEARCH("预设班",G28)))</formula>
    </cfRule>
    <cfRule type="containsText" dxfId="4" priority="41" operator="between" text="未审核">
      <formula>NOT(ISERROR(SEARCH("未审核",G28)))</formula>
    </cfRule>
    <cfRule type="containsText" dxfId="0" priority="38" operator="between" text="!">
      <formula>NOT(ISERROR(SEARCH("!",G28)))</formula>
    </cfRule>
  </conditionalFormatting>
  <conditionalFormatting sqref="H28">
    <cfRule type="containsText" dxfId="3" priority="46" operator="between" text="教材">
      <formula>NOT(ISERROR(SEARCH("教材",H28)))</formula>
    </cfRule>
    <cfRule type="containsText" dxfId="5" priority="43" operator="between" text="预设班">
      <formula>NOT(ISERROR(SEARCH("预设班",H28)))</formula>
    </cfRule>
    <cfRule type="containsText" dxfId="4" priority="40" operator="between" text="未审核">
      <formula>NOT(ISERROR(SEARCH("未审核",H28)))</formula>
    </cfRule>
    <cfRule type="containsText" dxfId="0" priority="37" operator="between" text="!">
      <formula>NOT(ISERROR(SEARCH("!",H28)))</formula>
    </cfRule>
  </conditionalFormatting>
  <conditionalFormatting sqref="D30">
    <cfRule type="containsText" dxfId="3" priority="56" operator="between" text="教材">
      <formula>NOT(ISERROR(SEARCH("教材",D30)))</formula>
    </cfRule>
    <cfRule type="containsText" dxfId="5" priority="55" operator="between" text="预设班">
      <formula>NOT(ISERROR(SEARCH("预设班",D30)))</formula>
    </cfRule>
    <cfRule type="containsText" dxfId="4" priority="54" operator="between" text="未审核">
      <formula>NOT(ISERROR(SEARCH("未审核",D30)))</formula>
    </cfRule>
    <cfRule type="containsText" dxfId="0" priority="53" operator="between" text="!">
      <formula>NOT(ISERROR(SEARCH("!",D30)))</formula>
    </cfRule>
  </conditionalFormatting>
  <conditionalFormatting sqref="G30">
    <cfRule type="containsText" dxfId="3" priority="60" operator="between" text="教材">
      <formula>NOT(ISERROR(SEARCH("教材",G30)))</formula>
    </cfRule>
    <cfRule type="containsText" dxfId="5" priority="59" operator="between" text="预设班">
      <formula>NOT(ISERROR(SEARCH("预设班",G30)))</formula>
    </cfRule>
    <cfRule type="containsText" dxfId="4" priority="58" operator="between" text="未审核">
      <formula>NOT(ISERROR(SEARCH("未审核",G30)))</formula>
    </cfRule>
    <cfRule type="containsText" dxfId="0" priority="57" operator="between" text="!">
      <formula>NOT(ISERROR(SEARCH("!",G30)))</formula>
    </cfRule>
  </conditionalFormatting>
  <conditionalFormatting sqref="E32">
    <cfRule type="containsText" dxfId="3" priority="20" operator="between" text="教材">
      <formula>NOT(ISERROR(SEARCH("教材",E32)))</formula>
    </cfRule>
    <cfRule type="containsText" dxfId="5" priority="19" operator="between" text="预设班">
      <formula>NOT(ISERROR(SEARCH("预设班",E32)))</formula>
    </cfRule>
    <cfRule type="containsText" dxfId="4" priority="18" operator="between" text="未审核">
      <formula>NOT(ISERROR(SEARCH("未审核",E32)))</formula>
    </cfRule>
    <cfRule type="containsText" dxfId="0" priority="17" operator="between" text="!">
      <formula>NOT(ISERROR(SEARCH("!",E32)))</formula>
    </cfRule>
  </conditionalFormatting>
  <conditionalFormatting sqref="F32">
    <cfRule type="containsText" dxfId="3" priority="4" operator="between" text="教材">
      <formula>NOT(ISERROR(SEARCH("教材",F32)))</formula>
    </cfRule>
    <cfRule type="containsText" dxfId="5" priority="3" operator="between" text="预设班">
      <formula>NOT(ISERROR(SEARCH("预设班",F32)))</formula>
    </cfRule>
    <cfRule type="containsText" dxfId="4" priority="2" operator="between" text="未审核">
      <formula>NOT(ISERROR(SEARCH("未审核",F32)))</formula>
    </cfRule>
    <cfRule type="containsText" dxfId="0" priority="1" operator="between" text="!">
      <formula>NOT(ISERROR(SEARCH("!",F32)))</formula>
    </cfRule>
  </conditionalFormatting>
  <conditionalFormatting sqref="G32">
    <cfRule type="containsText" dxfId="3" priority="8" operator="between" text="教材">
      <formula>NOT(ISERROR(SEARCH("教材",G32)))</formula>
    </cfRule>
    <cfRule type="containsText" dxfId="5" priority="7" operator="between" text="预设班">
      <formula>NOT(ISERROR(SEARCH("预设班",G32)))</formula>
    </cfRule>
    <cfRule type="containsText" dxfId="4" priority="6" operator="between" text="未审核">
      <formula>NOT(ISERROR(SEARCH("未审核",G32)))</formula>
    </cfRule>
    <cfRule type="containsText" dxfId="0" priority="5" operator="between" text="!">
      <formula>NOT(ISERROR(SEARCH("!",G32)))</formula>
    </cfRule>
  </conditionalFormatting>
  <conditionalFormatting sqref="F33">
    <cfRule type="containsText" dxfId="3" priority="16" operator="between" text="教材">
      <formula>NOT(ISERROR(SEARCH("教材",F33)))</formula>
    </cfRule>
    <cfRule type="containsText" dxfId="5" priority="15" operator="between" text="预设班">
      <formula>NOT(ISERROR(SEARCH("预设班",F33)))</formula>
    </cfRule>
    <cfRule type="containsText" dxfId="4" priority="14" operator="between" text="未审核">
      <formula>NOT(ISERROR(SEARCH("未审核",F33)))</formula>
    </cfRule>
    <cfRule type="containsText" dxfId="0" priority="13" operator="between" text="!">
      <formula>NOT(ISERROR(SEARCH("!",F33)))</formula>
    </cfRule>
  </conditionalFormatting>
  <conditionalFormatting sqref="H34">
    <cfRule type="containsText" dxfId="3" priority="36" operator="between" text="教材">
      <formula>NOT(ISERROR(SEARCH("教材",H34)))</formula>
    </cfRule>
    <cfRule type="containsText" dxfId="5" priority="35" operator="between" text="预设班">
      <formula>NOT(ISERROR(SEARCH("预设班",H34)))</formula>
    </cfRule>
    <cfRule type="containsText" dxfId="4" priority="34" operator="between" text="未审核">
      <formula>NOT(ISERROR(SEARCH("未审核",H34)))</formula>
    </cfRule>
    <cfRule type="containsText" dxfId="0" priority="33" operator="between" text="!">
      <formula>NOT(ISERROR(SEARCH("!",H34)))</formula>
    </cfRule>
  </conditionalFormatting>
  <conditionalFormatting sqref="H15:H16">
    <cfRule type="containsText" dxfId="0" priority="277" operator="between" text="!">
      <formula>NOT(ISERROR(SEARCH("!",H15)))</formula>
    </cfRule>
    <cfRule type="containsText" dxfId="4" priority="278" operator="between" text="未审核">
      <formula>NOT(ISERROR(SEARCH("未审核",H15)))</formula>
    </cfRule>
    <cfRule type="containsText" dxfId="5" priority="279" operator="between" text="预设班">
      <formula>NOT(ISERROR(SEARCH("预设班",H15)))</formula>
    </cfRule>
    <cfRule type="containsText" dxfId="3" priority="280" operator="between" text="教材">
      <formula>NOT(ISERROR(SEARCH("教材",H15)))</formula>
    </cfRule>
  </conditionalFormatting>
  <conditionalFormatting sqref="D3:G4 D5:E5 D6 E7:E9 F11 D16:G16">
    <cfRule type="containsText" dxfId="0" priority="309" operator="between" text="!">
      <formula>NOT(ISERROR(SEARCH("!",D3)))</formula>
    </cfRule>
    <cfRule type="containsText" dxfId="4" priority="310" operator="between" text="未审核">
      <formula>NOT(ISERROR(SEARCH("未审核",D3)))</formula>
    </cfRule>
    <cfRule type="containsText" dxfId="5" priority="311" operator="between" text="预设班">
      <formula>NOT(ISERROR(SEARCH("预设班",D3)))</formula>
    </cfRule>
    <cfRule type="containsText" dxfId="3" priority="312" operator="between" text="教材">
      <formula>NOT(ISERROR(SEARCH("教材",D3)))</formula>
    </cfRule>
  </conditionalFormatting>
  <conditionalFormatting sqref="F5 F8">
    <cfRule type="containsText" dxfId="0" priority="305" operator="between" text="!">
      <formula>NOT(ISERROR(SEARCH("!",F5)))</formula>
    </cfRule>
    <cfRule type="containsText" dxfId="4" priority="306" operator="between" text="未审核">
      <formula>NOT(ISERROR(SEARCH("未审核",F5)))</formula>
    </cfRule>
    <cfRule type="containsText" dxfId="5" priority="307" operator="between" text="预设班">
      <formula>NOT(ISERROR(SEARCH("预设班",F5)))</formula>
    </cfRule>
    <cfRule type="containsText" dxfId="3" priority="308" operator="between" text="教材">
      <formula>NOT(ISERROR(SEARCH("教材",F5)))</formula>
    </cfRule>
  </conditionalFormatting>
  <conditionalFormatting sqref="G5 G7:G8">
    <cfRule type="containsText" dxfId="0" priority="301" operator="between" text="!">
      <formula>NOT(ISERROR(SEARCH("!",G5)))</formula>
    </cfRule>
    <cfRule type="containsText" dxfId="4" priority="302" operator="between" text="未审核">
      <formula>NOT(ISERROR(SEARCH("未审核",G5)))</formula>
    </cfRule>
    <cfRule type="containsText" dxfId="5" priority="303" operator="between" text="预设班">
      <formula>NOT(ISERROR(SEARCH("预设班",G5)))</formula>
    </cfRule>
    <cfRule type="containsText" dxfId="3" priority="304" operator="between" text="教材">
      <formula>NOT(ISERROR(SEARCH("教材",G5)))</formula>
    </cfRule>
  </conditionalFormatting>
  <conditionalFormatting sqref="D12:E12 D13 D14:E15">
    <cfRule type="containsText" dxfId="0" priority="237" operator="between" text="!">
      <formula>NOT(ISERROR(SEARCH("!",D12)))</formula>
    </cfRule>
    <cfRule type="containsText" dxfId="4" priority="238" operator="between" text="未审核">
      <formula>NOT(ISERROR(SEARCH("未审核",D12)))</formula>
    </cfRule>
    <cfRule type="containsText" dxfId="5" priority="239" operator="between" text="预设班">
      <formula>NOT(ISERROR(SEARCH("预设班",D12)))</formula>
    </cfRule>
    <cfRule type="containsText" dxfId="3" priority="240" operator="between" text="教材">
      <formula>NOT(ISERROR(SEARCH("教材",D12)))</formula>
    </cfRule>
  </conditionalFormatting>
  <conditionalFormatting sqref="F12 F15">
    <cfRule type="containsText" dxfId="0" priority="233" operator="between" text="!">
      <formula>NOT(ISERROR(SEARCH("!",F12)))</formula>
    </cfRule>
    <cfRule type="containsText" dxfId="4" priority="234" operator="between" text="未审核">
      <formula>NOT(ISERROR(SEARCH("未审核",F12)))</formula>
    </cfRule>
    <cfRule type="containsText" dxfId="5" priority="235" operator="between" text="预设班">
      <formula>NOT(ISERROR(SEARCH("预设班",F12)))</formula>
    </cfRule>
    <cfRule type="containsText" dxfId="3" priority="236" operator="between" text="教材">
      <formula>NOT(ISERROR(SEARCH("教材",F12)))</formula>
    </cfRule>
  </conditionalFormatting>
  <conditionalFormatting sqref="G12 G14:G15">
    <cfRule type="containsText" dxfId="0" priority="229" operator="between" text="!">
      <formula>NOT(ISERROR(SEARCH("!",G12)))</formula>
    </cfRule>
    <cfRule type="containsText" dxfId="4" priority="230" operator="between" text="未审核">
      <formula>NOT(ISERROR(SEARCH("未审核",G12)))</formula>
    </cfRule>
    <cfRule type="containsText" dxfId="5" priority="231" operator="between" text="预设班">
      <formula>NOT(ISERROR(SEARCH("预设班",G12)))</formula>
    </cfRule>
    <cfRule type="containsText" dxfId="3" priority="232" operator="between" text="教材">
      <formula>NOT(ISERROR(SEARCH("教材",G12)))</formula>
    </cfRule>
  </conditionalFormatting>
  <conditionalFormatting sqref="D22:G23">
    <cfRule type="containsText" dxfId="3" priority="104" operator="between" text="教材">
      <formula>NOT(ISERROR(SEARCH("教材",D22)))</formula>
    </cfRule>
    <cfRule type="containsText" dxfId="5" priority="103" operator="between" text="预设班">
      <formula>NOT(ISERROR(SEARCH("预设班",D22)))</formula>
    </cfRule>
    <cfRule type="containsText" dxfId="4" priority="102" operator="between" text="未审核">
      <formula>NOT(ISERROR(SEARCH("未审核",D22)))</formula>
    </cfRule>
    <cfRule type="containsText" dxfId="0" priority="101" operator="between" text="!">
      <formula>NOT(ISERROR(SEARCH("!",D22)))</formula>
    </cfRule>
  </conditionalFormatting>
  <conditionalFormatting sqref="D24:E24 D25 E26:E27">
    <cfRule type="containsText" dxfId="3" priority="96" operator="between" text="教材">
      <formula>NOT(ISERROR(SEARCH("教材",D24)))</formula>
    </cfRule>
    <cfRule type="containsText" dxfId="5" priority="95" operator="between" text="预设班">
      <formula>NOT(ISERROR(SEARCH("预设班",D24)))</formula>
    </cfRule>
    <cfRule type="containsText" dxfId="4" priority="94" operator="between" text="未审核">
      <formula>NOT(ISERROR(SEARCH("未审核",D24)))</formula>
    </cfRule>
    <cfRule type="containsText" dxfId="0" priority="93" operator="between" text="!">
      <formula>NOT(ISERROR(SEARCH("!",D24)))</formula>
    </cfRule>
  </conditionalFormatting>
  <conditionalFormatting sqref="F24 F27">
    <cfRule type="containsText" dxfId="3" priority="92" operator="between" text="教材">
      <formula>NOT(ISERROR(SEARCH("教材",F24)))</formula>
    </cfRule>
    <cfRule type="containsText" dxfId="5" priority="91" operator="between" text="预设班">
      <formula>NOT(ISERROR(SEARCH("预设班",F24)))</formula>
    </cfRule>
    <cfRule type="containsText" dxfId="4" priority="90" operator="between" text="未审核">
      <formula>NOT(ISERROR(SEARCH("未审核",F24)))</formula>
    </cfRule>
    <cfRule type="containsText" dxfId="0" priority="89" operator="between" text="!">
      <formula>NOT(ISERROR(SEARCH("!",F24)))</formula>
    </cfRule>
  </conditionalFormatting>
  <conditionalFormatting sqref="G24 G26:G27">
    <cfRule type="containsText" dxfId="3" priority="88" operator="between" text="教材">
      <formula>NOT(ISERROR(SEARCH("教材",G24)))</formula>
    </cfRule>
    <cfRule type="containsText" dxfId="5" priority="87" operator="between" text="预设班">
      <formula>NOT(ISERROR(SEARCH("预设班",G24)))</formula>
    </cfRule>
    <cfRule type="containsText" dxfId="4" priority="86" operator="between" text="未审核">
      <formula>NOT(ISERROR(SEARCH("未审核",G24)))</formula>
    </cfRule>
    <cfRule type="containsText" dxfId="0" priority="85" operator="between" text="!">
      <formula>NOT(ISERROR(SEARCH("!",G24)))</formula>
    </cfRule>
  </conditionalFormatting>
  <conditionalFormatting sqref="E28 F30">
    <cfRule type="containsText" dxfId="3" priority="64" operator="between" text="教材">
      <formula>NOT(ISERROR(SEARCH("教材",E28)))</formula>
    </cfRule>
    <cfRule type="containsText" dxfId="5" priority="63" operator="between" text="预设班">
      <formula>NOT(ISERROR(SEARCH("预设班",E28)))</formula>
    </cfRule>
    <cfRule type="containsText" dxfId="4" priority="62" operator="between" text="未审核">
      <formula>NOT(ISERROR(SEARCH("未审核",E28)))</formula>
    </cfRule>
    <cfRule type="containsText" dxfId="0" priority="61" operator="between" text="!">
      <formula>NOT(ISERROR(SEARCH("!",E28)))</formula>
    </cfRule>
  </conditionalFormatting>
  <conditionalFormatting sqref="D31:E31 D32 D33:E34">
    <cfRule type="containsText" dxfId="3" priority="32" operator="between" text="教材">
      <formula>NOT(ISERROR(SEARCH("教材",D31)))</formula>
    </cfRule>
    <cfRule type="containsText" dxfId="5" priority="31" operator="between" text="预设班">
      <formula>NOT(ISERROR(SEARCH("预设班",D31)))</formula>
    </cfRule>
    <cfRule type="containsText" dxfId="4" priority="30" operator="between" text="未审核">
      <formula>NOT(ISERROR(SEARCH("未审核",D31)))</formula>
    </cfRule>
    <cfRule type="containsText" dxfId="0" priority="29" operator="between" text="!">
      <formula>NOT(ISERROR(SEARCH("!",D31)))</formula>
    </cfRule>
  </conditionalFormatting>
  <conditionalFormatting sqref="F31 F34">
    <cfRule type="containsText" dxfId="3" priority="28" operator="between" text="教材">
      <formula>NOT(ISERROR(SEARCH("教材",F31)))</formula>
    </cfRule>
    <cfRule type="containsText" dxfId="5" priority="27" operator="between" text="预设班">
      <formula>NOT(ISERROR(SEARCH("预设班",F31)))</formula>
    </cfRule>
    <cfRule type="containsText" dxfId="4" priority="26" operator="between" text="未审核">
      <formula>NOT(ISERROR(SEARCH("未审核",F31)))</formula>
    </cfRule>
    <cfRule type="containsText" dxfId="0" priority="25" operator="between" text="!">
      <formula>NOT(ISERROR(SEARCH("!",F31)))</formula>
    </cfRule>
  </conditionalFormatting>
  <conditionalFormatting sqref="G31 G33:G34">
    <cfRule type="containsText" dxfId="3" priority="24" operator="between" text="教材">
      <formula>NOT(ISERROR(SEARCH("教材",G31)))</formula>
    </cfRule>
    <cfRule type="containsText" dxfId="5" priority="23" operator="between" text="预设班">
      <formula>NOT(ISERROR(SEARCH("预设班",G31)))</formula>
    </cfRule>
    <cfRule type="containsText" dxfId="4" priority="22" operator="between" text="未审核">
      <formula>NOT(ISERROR(SEARCH("未审核",G31)))</formula>
    </cfRule>
    <cfRule type="containsText" dxfId="0" priority="21" operator="between" text="!">
      <formula>NOT(ISERROR(SEARCH("!",G31)))</formula>
    </cfRule>
  </conditionalFormatting>
  <pageMargins left="0.75" right="0.75" top="1" bottom="1" header="0.5" footer="0.5"/>
  <pageSetup paperSize="9" orientation="portrait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zoomScale="80" zoomScaleNormal="80" topLeftCell="A4" workbookViewId="0">
      <selection activeCell="L6" sqref="L6"/>
    </sheetView>
  </sheetViews>
  <sheetFormatPr defaultColWidth="8.72727272727273" defaultRowHeight="14" outlineLevelCol="7"/>
  <cols>
    <col min="1" max="3" width="8.88181818181818"/>
    <col min="4" max="4" width="14.2545454545455" customWidth="1"/>
    <col min="5" max="5" width="15.2181818181818" customWidth="1"/>
    <col min="6" max="6" width="15" customWidth="1"/>
    <col min="7" max="7" width="15.6636363636364" customWidth="1"/>
    <col min="8" max="8" width="18.8818181818182" customWidth="1"/>
  </cols>
  <sheetData>
    <row r="1" ht="53" customHeight="1" spans="1:8">
      <c r="A1" s="1" t="s">
        <v>680</v>
      </c>
      <c r="B1" s="1"/>
      <c r="C1" s="1"/>
      <c r="D1" s="1"/>
      <c r="E1" s="1"/>
      <c r="F1" s="1"/>
      <c r="G1" s="1"/>
      <c r="H1" s="2"/>
    </row>
    <row r="2" ht="16.5" spans="1:8">
      <c r="A2" s="3" t="s">
        <v>53</v>
      </c>
      <c r="B2" s="4" t="s">
        <v>3</v>
      </c>
      <c r="C2" s="5" t="s">
        <v>54</v>
      </c>
      <c r="D2" s="6" t="s">
        <v>6</v>
      </c>
      <c r="E2" s="6" t="s">
        <v>7</v>
      </c>
      <c r="F2" s="6" t="s">
        <v>242</v>
      </c>
      <c r="G2" s="7" t="s">
        <v>243</v>
      </c>
      <c r="H2" s="8" t="s">
        <v>10</v>
      </c>
    </row>
    <row r="3" ht="72.5" spans="1:8">
      <c r="A3" s="9" t="s">
        <v>681</v>
      </c>
      <c r="B3" s="10" t="s">
        <v>376</v>
      </c>
      <c r="C3" s="11" t="s">
        <v>682</v>
      </c>
      <c r="D3" s="12" t="s">
        <v>860</v>
      </c>
      <c r="E3" s="12" t="s">
        <v>684</v>
      </c>
      <c r="F3" s="12" t="s">
        <v>685</v>
      </c>
      <c r="G3" s="13" t="s">
        <v>861</v>
      </c>
      <c r="H3" s="14"/>
    </row>
    <row r="4" ht="58" spans="1:8">
      <c r="A4" s="3"/>
      <c r="B4" s="10"/>
      <c r="C4" s="15"/>
      <c r="D4" s="16"/>
      <c r="E4" s="17" t="s">
        <v>690</v>
      </c>
      <c r="F4" s="18" t="s">
        <v>862</v>
      </c>
      <c r="G4" s="17" t="s">
        <v>692</v>
      </c>
      <c r="H4" s="18"/>
    </row>
    <row r="5" ht="58" spans="1:8">
      <c r="A5" s="3"/>
      <c r="B5" s="10"/>
      <c r="C5" s="15"/>
      <c r="D5" s="18"/>
      <c r="E5" s="16"/>
      <c r="F5" s="16" t="s">
        <v>863</v>
      </c>
      <c r="G5" s="16" t="s">
        <v>698</v>
      </c>
      <c r="H5" s="16"/>
    </row>
    <row r="6" ht="58" spans="1:8">
      <c r="A6" s="3"/>
      <c r="B6" s="10"/>
      <c r="C6" s="19"/>
      <c r="D6" s="20"/>
      <c r="E6" s="21" t="s">
        <v>864</v>
      </c>
      <c r="F6" s="17" t="s">
        <v>702</v>
      </c>
      <c r="G6" s="21" t="s">
        <v>706</v>
      </c>
      <c r="H6" s="18"/>
    </row>
    <row r="7" ht="58" spans="1:8">
      <c r="A7" s="3"/>
      <c r="B7" s="22" t="s">
        <v>388</v>
      </c>
      <c r="C7" s="23" t="s">
        <v>865</v>
      </c>
      <c r="D7" s="18" t="s">
        <v>708</v>
      </c>
      <c r="E7" s="16" t="s">
        <v>866</v>
      </c>
      <c r="F7" s="16" t="s">
        <v>713</v>
      </c>
      <c r="G7" s="24"/>
      <c r="H7" s="25"/>
    </row>
    <row r="8" ht="43.5" spans="1:8">
      <c r="A8" s="3"/>
      <c r="B8" s="26"/>
      <c r="C8" s="27"/>
      <c r="D8" s="16"/>
      <c r="E8" s="28"/>
      <c r="F8" s="16" t="s">
        <v>714</v>
      </c>
      <c r="G8" s="20"/>
      <c r="H8" s="29"/>
    </row>
    <row r="9" ht="43.5" spans="1:8">
      <c r="A9" s="3"/>
      <c r="B9" s="30" t="s">
        <v>716</v>
      </c>
      <c r="C9" s="31" t="s">
        <v>717</v>
      </c>
      <c r="D9" s="12" t="s">
        <v>699</v>
      </c>
      <c r="E9" s="32" t="s">
        <v>722</v>
      </c>
      <c r="F9" s="32" t="s">
        <v>719</v>
      </c>
      <c r="G9" s="32" t="s">
        <v>867</v>
      </c>
      <c r="H9" s="29"/>
    </row>
    <row r="10" ht="43.5" spans="1:8">
      <c r="A10" s="3"/>
      <c r="B10" s="30"/>
      <c r="C10" s="31"/>
      <c r="D10" s="18"/>
      <c r="E10" s="33" t="s">
        <v>725</v>
      </c>
      <c r="F10" s="33"/>
      <c r="G10" s="18"/>
      <c r="H10" s="29"/>
    </row>
    <row r="11" ht="58" spans="1:8">
      <c r="A11" s="3"/>
      <c r="B11" s="30"/>
      <c r="C11" s="31"/>
      <c r="D11" s="34"/>
      <c r="E11" s="35" t="s">
        <v>726</v>
      </c>
      <c r="F11" s="35" t="s">
        <v>729</v>
      </c>
      <c r="G11" s="35" t="s">
        <v>868</v>
      </c>
      <c r="H11" s="36"/>
    </row>
    <row r="12" ht="72.5" spans="1:8">
      <c r="A12" s="3"/>
      <c r="B12" s="37" t="s">
        <v>731</v>
      </c>
      <c r="C12" s="23" t="s">
        <v>732</v>
      </c>
      <c r="D12" s="35" t="s">
        <v>733</v>
      </c>
      <c r="E12" s="38" t="s">
        <v>869</v>
      </c>
      <c r="F12" s="35" t="s">
        <v>740</v>
      </c>
      <c r="G12" s="32" t="s">
        <v>736</v>
      </c>
      <c r="H12" s="25"/>
    </row>
    <row r="13" ht="16.5" spans="1:8">
      <c r="A13" s="39" t="s">
        <v>53</v>
      </c>
      <c r="B13" s="39" t="s">
        <v>3</v>
      </c>
      <c r="C13" s="40" t="s">
        <v>54</v>
      </c>
      <c r="D13" s="41" t="s">
        <v>6</v>
      </c>
      <c r="E13" s="41" t="s">
        <v>7</v>
      </c>
      <c r="F13" s="41" t="s">
        <v>242</v>
      </c>
      <c r="G13" s="42" t="s">
        <v>243</v>
      </c>
      <c r="H13" s="40" t="s">
        <v>10</v>
      </c>
    </row>
    <row r="14" ht="58" spans="1:8">
      <c r="A14" s="9" t="s">
        <v>681</v>
      </c>
      <c r="B14" s="43" t="s">
        <v>23</v>
      </c>
      <c r="C14" s="23" t="s">
        <v>741</v>
      </c>
      <c r="D14" s="44" t="s">
        <v>742</v>
      </c>
      <c r="E14" s="44" t="s">
        <v>743</v>
      </c>
      <c r="F14" s="45" t="s">
        <v>744</v>
      </c>
      <c r="G14" s="44" t="s">
        <v>745</v>
      </c>
      <c r="H14" s="18"/>
    </row>
    <row r="15" ht="58" spans="1:8">
      <c r="A15" s="3"/>
      <c r="B15" s="43"/>
      <c r="C15" s="31"/>
      <c r="D15" s="18" t="s">
        <v>746</v>
      </c>
      <c r="E15" s="18" t="s">
        <v>870</v>
      </c>
      <c r="F15" s="18" t="s">
        <v>871</v>
      </c>
      <c r="G15" s="18" t="s">
        <v>749</v>
      </c>
      <c r="H15" s="20" t="s">
        <v>750</v>
      </c>
    </row>
    <row r="16" ht="43.5" spans="1:8">
      <c r="A16" s="3"/>
      <c r="B16" s="43"/>
      <c r="C16" s="31"/>
      <c r="D16" s="46"/>
      <c r="E16" s="21" t="s">
        <v>754</v>
      </c>
      <c r="F16" s="47" t="s">
        <v>755</v>
      </c>
      <c r="G16" s="35" t="s">
        <v>759</v>
      </c>
      <c r="H16" s="21" t="s">
        <v>757</v>
      </c>
    </row>
    <row r="17" ht="43.5" spans="1:8">
      <c r="A17" s="3"/>
      <c r="B17" s="43"/>
      <c r="C17" s="48" t="s">
        <v>760</v>
      </c>
      <c r="D17" s="46"/>
      <c r="E17" s="18"/>
      <c r="F17" s="18" t="s">
        <v>761</v>
      </c>
      <c r="G17" s="16" t="s">
        <v>762</v>
      </c>
      <c r="H17" s="18"/>
    </row>
    <row r="18" ht="43.5" spans="1:8">
      <c r="A18" s="3"/>
      <c r="B18" s="43"/>
      <c r="C18" s="48"/>
      <c r="D18" s="18" t="s">
        <v>764</v>
      </c>
      <c r="E18" s="18" t="s">
        <v>765</v>
      </c>
      <c r="F18" s="18" t="s">
        <v>766</v>
      </c>
      <c r="G18" s="18" t="s">
        <v>767</v>
      </c>
      <c r="H18" s="49"/>
    </row>
    <row r="19" ht="60" customHeight="1" spans="1:8">
      <c r="A19" s="50"/>
      <c r="B19" s="43"/>
      <c r="C19" s="48"/>
      <c r="D19" s="51"/>
      <c r="E19" s="18"/>
      <c r="F19" s="21" t="s">
        <v>770</v>
      </c>
      <c r="G19" s="21" t="s">
        <v>771</v>
      </c>
      <c r="H19" s="52"/>
    </row>
  </sheetData>
  <mergeCells count="12">
    <mergeCell ref="A1:G1"/>
    <mergeCell ref="A3:A12"/>
    <mergeCell ref="A14:A19"/>
    <mergeCell ref="B3:B6"/>
    <mergeCell ref="B7:B8"/>
    <mergeCell ref="B9:B11"/>
    <mergeCell ref="B14:B19"/>
    <mergeCell ref="C3:C6"/>
    <mergeCell ref="C7:C8"/>
    <mergeCell ref="C9:C11"/>
    <mergeCell ref="C14:C16"/>
    <mergeCell ref="C17:C19"/>
  </mergeCells>
  <conditionalFormatting sqref="E4:G4">
    <cfRule type="containsText" dxfId="3" priority="36" operator="between" text="教材">
      <formula>NOT(ISERROR(SEARCH("教材",E4)))</formula>
    </cfRule>
    <cfRule type="containsText" dxfId="2" priority="35" operator="between" text="预设班">
      <formula>NOT(ISERROR(SEARCH("预设班",E4)))</formula>
    </cfRule>
    <cfRule type="containsText" dxfId="1" priority="34" operator="between" text="未审核">
      <formula>NOT(ISERROR(SEARCH("未审核",E4)))</formula>
    </cfRule>
    <cfRule type="containsText" dxfId="0" priority="33" operator="between" text="!">
      <formula>NOT(ISERROR(SEARCH("!",E4)))</formula>
    </cfRule>
  </conditionalFormatting>
  <conditionalFormatting sqref="F5">
    <cfRule type="containsText" dxfId="3" priority="20" operator="between" text="教材">
      <formula>NOT(ISERROR(SEARCH("教材",F5)))</formula>
    </cfRule>
    <cfRule type="containsText" dxfId="2" priority="19" operator="between" text="预设班">
      <formula>NOT(ISERROR(SEARCH("预设班",F5)))</formula>
    </cfRule>
    <cfRule type="containsText" dxfId="1" priority="18" operator="between" text="未审核">
      <formula>NOT(ISERROR(SEARCH("未审核",F5)))</formula>
    </cfRule>
    <cfRule type="containsText" dxfId="0" priority="17" operator="between" text="!">
      <formula>NOT(ISERROR(SEARCH("!",F5)))</formula>
    </cfRule>
  </conditionalFormatting>
  <conditionalFormatting sqref="G5">
    <cfRule type="containsText" dxfId="3" priority="24" operator="between" text="教材">
      <formula>NOT(ISERROR(SEARCH("教材",G5)))</formula>
    </cfRule>
    <cfRule type="containsText" dxfId="2" priority="23" operator="between" text="预设班">
      <formula>NOT(ISERROR(SEARCH("预设班",G5)))</formula>
    </cfRule>
    <cfRule type="containsText" dxfId="1" priority="22" operator="between" text="未审核">
      <formula>NOT(ISERROR(SEARCH("未审核",G5)))</formula>
    </cfRule>
    <cfRule type="containsText" dxfId="0" priority="21" operator="between" text="!">
      <formula>NOT(ISERROR(SEARCH("!",G5)))</formula>
    </cfRule>
  </conditionalFormatting>
  <conditionalFormatting sqref="H5">
    <cfRule type="containsText" dxfId="3" priority="44" operator="between" text="教材">
      <formula>NOT(ISERROR(SEARCH("教材",H5)))</formula>
    </cfRule>
    <cfRule type="containsText" dxfId="2" priority="43" operator="between" text="预设班">
      <formula>NOT(ISERROR(SEARCH("预设班",H5)))</formula>
    </cfRule>
    <cfRule type="containsText" dxfId="1" priority="42" operator="between" text="未审核">
      <formula>NOT(ISERROR(SEARCH("未审核",H5)))</formula>
    </cfRule>
    <cfRule type="containsText" dxfId="0" priority="41" operator="between" text="!">
      <formula>NOT(ISERROR(SEARCH("!",H5)))</formula>
    </cfRule>
  </conditionalFormatting>
  <conditionalFormatting sqref="C7">
    <cfRule type="containsText" dxfId="3" priority="80" operator="between" text="教材">
      <formula>NOT(ISERROR(SEARCH("教材",C7)))</formula>
    </cfRule>
    <cfRule type="containsText" dxfId="2" priority="79" operator="between" text="预设班">
      <formula>NOT(ISERROR(SEARCH("预设班",C7)))</formula>
    </cfRule>
    <cfRule type="containsText" dxfId="1" priority="78" operator="between" text="未审核">
      <formula>NOT(ISERROR(SEARCH("未审核",C7)))</formula>
    </cfRule>
    <cfRule type="containsText" dxfId="0" priority="77" operator="between" text="!">
      <formula>NOT(ISERROR(SEARCH("!",C7)))</formula>
    </cfRule>
  </conditionalFormatting>
  <conditionalFormatting sqref="F7">
    <cfRule type="containsText" dxfId="3" priority="56" operator="between" text="教材">
      <formula>NOT(ISERROR(SEARCH("教材",F7)))</formula>
    </cfRule>
    <cfRule type="containsText" dxfId="2" priority="55" operator="between" text="预设班">
      <formula>NOT(ISERROR(SEARCH("预设班",F7)))</formula>
    </cfRule>
    <cfRule type="containsText" dxfId="1" priority="54" operator="between" text="未审核">
      <formula>NOT(ISERROR(SEARCH("未审核",F7)))</formula>
    </cfRule>
    <cfRule type="containsText" dxfId="0" priority="53" operator="between" text="!">
      <formula>NOT(ISERROR(SEARCH("!",F7)))</formula>
    </cfRule>
  </conditionalFormatting>
  <conditionalFormatting sqref="D8">
    <cfRule type="containsText" dxfId="3" priority="12" operator="between" text="教材">
      <formula>NOT(ISERROR(SEARCH("教材",D8)))</formula>
    </cfRule>
    <cfRule type="containsText" dxfId="2" priority="11" operator="between" text="预设班">
      <formula>NOT(ISERROR(SEARCH("预设班",D8)))</formula>
    </cfRule>
    <cfRule type="containsText" dxfId="1" priority="10" operator="between" text="未审核">
      <formula>NOT(ISERROR(SEARCH("未审核",D8)))</formula>
    </cfRule>
    <cfRule type="containsText" dxfId="0" priority="9" operator="between" text="!">
      <formula>NOT(ISERROR(SEARCH("!",D8)))</formula>
    </cfRule>
  </conditionalFormatting>
  <conditionalFormatting sqref="F8">
    <cfRule type="containsText" dxfId="3" priority="52" operator="between" text="教材">
      <formula>NOT(ISERROR(SEARCH("教材",F8)))</formula>
    </cfRule>
    <cfRule type="containsText" dxfId="2" priority="51" operator="between" text="预设班">
      <formula>NOT(ISERROR(SEARCH("预设班",F8)))</formula>
    </cfRule>
    <cfRule type="containsText" dxfId="1" priority="50" operator="between" text="未审核">
      <formula>NOT(ISERROR(SEARCH("未审核",F8)))</formula>
    </cfRule>
    <cfRule type="containsText" dxfId="0" priority="49" operator="between" text="!">
      <formula>NOT(ISERROR(SEARCH("!",F8)))</formula>
    </cfRule>
  </conditionalFormatting>
  <conditionalFormatting sqref="D9">
    <cfRule type="containsText" dxfId="3" priority="8" operator="between" text="教材">
      <formula>NOT(ISERROR(SEARCH("教材",D9)))</formula>
    </cfRule>
    <cfRule type="containsText" dxfId="2" priority="7" operator="between" text="预设班">
      <formula>NOT(ISERROR(SEARCH("预设班",D9)))</formula>
    </cfRule>
    <cfRule type="containsText" dxfId="1" priority="6" operator="between" text="未审核">
      <formula>NOT(ISERROR(SEARCH("未审核",D9)))</formula>
    </cfRule>
    <cfRule type="containsText" dxfId="0" priority="5" operator="between" text="!">
      <formula>NOT(ISERROR(SEARCH("!",D9)))</formula>
    </cfRule>
  </conditionalFormatting>
  <conditionalFormatting sqref="E9:F9">
    <cfRule type="containsText" dxfId="3" priority="40" operator="between" text="教材">
      <formula>NOT(ISERROR(SEARCH("教材",E9)))</formula>
    </cfRule>
    <cfRule type="containsText" dxfId="2" priority="39" operator="between" text="预设班">
      <formula>NOT(ISERROR(SEARCH("预设班",E9)))</formula>
    </cfRule>
    <cfRule type="containsText" dxfId="1" priority="38" operator="between" text="未审核">
      <formula>NOT(ISERROR(SEARCH("未审核",E9)))</formula>
    </cfRule>
    <cfRule type="containsText" dxfId="0" priority="37" operator="between" text="!">
      <formula>NOT(ISERROR(SEARCH("!",E9)))</formula>
    </cfRule>
  </conditionalFormatting>
  <conditionalFormatting sqref="G9">
    <cfRule type="containsText" dxfId="3" priority="68" operator="between" text="教材">
      <formula>NOT(ISERROR(SEARCH("教材",G9)))</formula>
    </cfRule>
    <cfRule type="containsText" dxfId="2" priority="67" operator="between" text="预设班">
      <formula>NOT(ISERROR(SEARCH("预设班",G9)))</formula>
    </cfRule>
    <cfRule type="containsText" dxfId="1" priority="66" operator="between" text="未审核">
      <formula>NOT(ISERROR(SEARCH("未审核",G9)))</formula>
    </cfRule>
    <cfRule type="containsText" dxfId="0" priority="65" operator="between" text="!">
      <formula>NOT(ISERROR(SEARCH("!",G9)))</formula>
    </cfRule>
  </conditionalFormatting>
  <conditionalFormatting sqref="E11:G11">
    <cfRule type="containsText" dxfId="3" priority="32" operator="between" text="教材">
      <formula>NOT(ISERROR(SEARCH("教材",E11)))</formula>
    </cfRule>
    <cfRule type="containsText" dxfId="2" priority="31" operator="between" text="预设班">
      <formula>NOT(ISERROR(SEARCH("预设班",E11)))</formula>
    </cfRule>
    <cfRule type="containsText" dxfId="1" priority="30" operator="between" text="未审核">
      <formula>NOT(ISERROR(SEARCH("未审核",E11)))</formula>
    </cfRule>
    <cfRule type="containsText" dxfId="0" priority="29" operator="between" text="!">
      <formula>NOT(ISERROR(SEARCH("!",E11)))</formula>
    </cfRule>
  </conditionalFormatting>
  <conditionalFormatting sqref="E12">
    <cfRule type="containsText" dxfId="3" priority="4" operator="between" text="教材">
      <formula>NOT(ISERROR(SEARCH("教材",E12)))</formula>
    </cfRule>
    <cfRule type="containsText" dxfId="2" priority="3" operator="between" text="预设班">
      <formula>NOT(ISERROR(SEARCH("预设班",E12)))</formula>
    </cfRule>
    <cfRule type="containsText" dxfId="1" priority="2" operator="between" text="未审核">
      <formula>NOT(ISERROR(SEARCH("未审核",E12)))</formula>
    </cfRule>
    <cfRule type="containsText" dxfId="0" priority="1" operator="between" text="!">
      <formula>NOT(ISERROR(SEARCH("!",E12)))</formula>
    </cfRule>
  </conditionalFormatting>
  <conditionalFormatting sqref="G12">
    <cfRule type="containsText" dxfId="3" priority="28" operator="between" text="教材">
      <formula>NOT(ISERROR(SEARCH("教材",G12)))</formula>
    </cfRule>
    <cfRule type="containsText" dxfId="2" priority="27" operator="between" text="预设班">
      <formula>NOT(ISERROR(SEARCH("预设班",G12)))</formula>
    </cfRule>
    <cfRule type="containsText" dxfId="1" priority="26" operator="between" text="未审核">
      <formula>NOT(ISERROR(SEARCH("未审核",G12)))</formula>
    </cfRule>
    <cfRule type="containsText" dxfId="0" priority="25" operator="between" text="!">
      <formula>NOT(ISERROR(SEARCH("!",G12)))</formula>
    </cfRule>
  </conditionalFormatting>
  <conditionalFormatting sqref="D13:G13">
    <cfRule type="containsText" dxfId="3" priority="84" operator="between" text="教材">
      <formula>NOT(ISERROR(SEARCH("教材",D13)))</formula>
    </cfRule>
    <cfRule type="containsText" dxfId="2" priority="83" operator="between" text="预设班">
      <formula>NOT(ISERROR(SEARCH("预设班",D13)))</formula>
    </cfRule>
    <cfRule type="containsText" dxfId="1" priority="82" operator="between" text="未审核">
      <formula>NOT(ISERROR(SEARCH("未审核",D13)))</formula>
    </cfRule>
    <cfRule type="containsText" dxfId="0" priority="81" operator="between" text="!">
      <formula>NOT(ISERROR(SEARCH("!",D13)))</formula>
    </cfRule>
  </conditionalFormatting>
  <conditionalFormatting sqref="D15:F15">
    <cfRule type="containsText" dxfId="3" priority="48" operator="between" text="教材">
      <formula>NOT(ISERROR(SEARCH("教材",D15)))</formula>
    </cfRule>
    <cfRule type="containsText" dxfId="2" priority="47" operator="between" text="预设班">
      <formula>NOT(ISERROR(SEARCH("预设班",D15)))</formula>
    </cfRule>
    <cfRule type="containsText" dxfId="1" priority="46" operator="between" text="未审核">
      <formula>NOT(ISERROR(SEARCH("未审核",D15)))</formula>
    </cfRule>
    <cfRule type="containsText" dxfId="0" priority="45" operator="between" text="!">
      <formula>NOT(ISERROR(SEARCH("!",D15)))</formula>
    </cfRule>
  </conditionalFormatting>
  <conditionalFormatting sqref="G15">
    <cfRule type="containsText" dxfId="3" priority="16" operator="between" text="教材">
      <formula>NOT(ISERROR(SEARCH("教材",G15)))</formula>
    </cfRule>
    <cfRule type="containsText" dxfId="2" priority="15" operator="between" text="预设班">
      <formula>NOT(ISERROR(SEARCH("预设班",G15)))</formula>
    </cfRule>
    <cfRule type="containsText" dxfId="1" priority="14" operator="between" text="未审核">
      <formula>NOT(ISERROR(SEARCH("未审核",G15)))</formula>
    </cfRule>
    <cfRule type="containsText" dxfId="0" priority="13" operator="between" text="!">
      <formula>NOT(ISERROR(SEARCH("!",G15)))</formula>
    </cfRule>
  </conditionalFormatting>
  <conditionalFormatting sqref="G16">
    <cfRule type="containsText" dxfId="3" priority="64" operator="between" text="教材">
      <formula>NOT(ISERROR(SEARCH("教材",G16)))</formula>
    </cfRule>
    <cfRule type="containsText" dxfId="2" priority="63" operator="between" text="预设班">
      <formula>NOT(ISERROR(SEARCH("预设班",G16)))</formula>
    </cfRule>
    <cfRule type="containsText" dxfId="1" priority="62" operator="between" text="未审核">
      <formula>NOT(ISERROR(SEARCH("未审核",G16)))</formula>
    </cfRule>
    <cfRule type="containsText" dxfId="0" priority="61" operator="between" text="!">
      <formula>NOT(ISERROR(SEARCH("!",G16)))</formula>
    </cfRule>
  </conditionalFormatting>
  <conditionalFormatting sqref="G18">
    <cfRule type="containsText" dxfId="3" priority="60" operator="between" text="教材">
      <formula>NOT(ISERROR(SEARCH("教材",G18)))</formula>
    </cfRule>
    <cfRule type="containsText" dxfId="2" priority="59" operator="between" text="预设班">
      <formula>NOT(ISERROR(SEARCH("预设班",G18)))</formula>
    </cfRule>
    <cfRule type="containsText" dxfId="1" priority="58" operator="between" text="未审核">
      <formula>NOT(ISERROR(SEARCH("未审核",G18)))</formula>
    </cfRule>
    <cfRule type="containsText" dxfId="0" priority="57" operator="between" text="!">
      <formula>NOT(ISERROR(SEARCH("!",G18)))</formula>
    </cfRule>
  </conditionalFormatting>
  <conditionalFormatting sqref="D16:D17">
    <cfRule type="containsText" dxfId="3" priority="72" operator="between" text="教材">
      <formula>NOT(ISERROR(SEARCH("教材",D16)))</formula>
    </cfRule>
    <cfRule type="containsText" dxfId="2" priority="71" operator="between" text="预设班">
      <formula>NOT(ISERROR(SEARCH("预设班",D16)))</formula>
    </cfRule>
    <cfRule type="containsText" dxfId="1" priority="70" operator="between" text="未审核">
      <formula>NOT(ISERROR(SEARCH("未审核",D16)))</formula>
    </cfRule>
    <cfRule type="containsText" dxfId="0" priority="69" operator="between" text="!">
      <formula>NOT(ISERROR(SEARCH("!",D16)))</formula>
    </cfRule>
  </conditionalFormatting>
  <conditionalFormatting sqref="E7:E8">
    <cfRule type="containsText" dxfId="3" priority="76" operator="between" text="教材">
      <formula>NOT(ISERROR(SEARCH("教材",E7)))</formula>
    </cfRule>
    <cfRule type="containsText" dxfId="2" priority="75" operator="between" text="预设班">
      <formula>NOT(ISERROR(SEARCH("预设班",E7)))</formula>
    </cfRule>
    <cfRule type="containsText" dxfId="1" priority="74" operator="between" text="未审核">
      <formula>NOT(ISERROR(SEARCH("未审核",E7)))</formula>
    </cfRule>
    <cfRule type="containsText" dxfId="0" priority="73" operator="between" text="!">
      <formula>NOT(ISERROR(SEARCH("!",E7)))</formula>
    </cfRule>
  </conditionalFormatting>
  <conditionalFormatting sqref="D2:H2 H3">
    <cfRule type="containsText" dxfId="3" priority="92" operator="between" text="教材">
      <formula>NOT(ISERROR(SEARCH("教材",D2)))</formula>
    </cfRule>
    <cfRule type="containsText" dxfId="2" priority="91" operator="between" text="预设班">
      <formula>NOT(ISERROR(SEARCH("预设班",D2)))</formula>
    </cfRule>
    <cfRule type="containsText" dxfId="1" priority="90" operator="between" text="未审核">
      <formula>NOT(ISERROR(SEARCH("未审核",D2)))</formula>
    </cfRule>
    <cfRule type="containsText" dxfId="0" priority="89" operator="between" text="!">
      <formula>NOT(ISERROR(SEARCH("!",D2)))</formula>
    </cfRule>
  </conditionalFormatting>
  <conditionalFormatting sqref="C3 C9:C10">
    <cfRule type="containsText" dxfId="3" priority="96" operator="between" text="教材">
      <formula>NOT(ISERROR(SEARCH("教材",C3)))</formula>
    </cfRule>
    <cfRule type="containsText" dxfId="2" priority="95" operator="between" text="预设班">
      <formula>NOT(ISERROR(SEARCH("预设班",C3)))</formula>
    </cfRule>
    <cfRule type="containsText" dxfId="1" priority="94" operator="between" text="未审核">
      <formula>NOT(ISERROR(SEARCH("未审核",C3)))</formula>
    </cfRule>
    <cfRule type="containsText" dxfId="0" priority="93" operator="between" text="!">
      <formula>NOT(ISERROR(SEARCH("!",C3)))</formula>
    </cfRule>
  </conditionalFormatting>
  <conditionalFormatting sqref="D5:D6 H7:H13 C14 C17 H18">
    <cfRule type="containsText" dxfId="3" priority="88" operator="between" text="教材">
      <formula>NOT(ISERROR(SEARCH("教材",C5)))</formula>
    </cfRule>
    <cfRule type="containsText" dxfId="2" priority="87" operator="between" text="预设班">
      <formula>NOT(ISERROR(SEARCH("预设班",C5)))</formula>
    </cfRule>
    <cfRule type="containsText" dxfId="1" priority="86" operator="between" text="未审核">
      <formula>NOT(ISERROR(SEARCH("未审核",C5)))</formula>
    </cfRule>
    <cfRule type="containsText" dxfId="0" priority="85" operator="between" text="!">
      <formula>NOT(ISERROR(SEARCH("!",C5)))</formula>
    </cfRule>
  </conditionalFormatting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高二暑秋</vt:lpstr>
      <vt:lpstr>高考暑秋</vt:lpstr>
      <vt:lpstr>初2，3</vt:lpstr>
      <vt:lpstr>新高一</vt:lpstr>
      <vt:lpstr>初一素养</vt:lpstr>
      <vt:lpstr>初一寒春</vt:lpstr>
      <vt:lpstr>初二寒春</vt:lpstr>
      <vt:lpstr>初三寒春</vt:lpstr>
      <vt:lpstr>FY261暑秋</vt:lpstr>
      <vt:lpstr>Sheet1</vt:lpstr>
      <vt:lpstr>初二暑秋</vt:lpstr>
      <vt:lpstr>初三暑秋</vt:lpstr>
      <vt:lpstr>FY261初一寒春</vt:lpstr>
      <vt:lpstr>FY262初二寒春</vt:lpstr>
      <vt:lpstr>FY263初三寒春</vt:lpstr>
      <vt:lpstr>FY271CY寒假班</vt:lpstr>
      <vt:lpstr>南沙</vt:lpstr>
      <vt:lpstr>27新初一暑假</vt:lpstr>
      <vt:lpstr>27新初二暑假</vt:lpstr>
      <vt:lpstr>27新初三暑假</vt:lpstr>
      <vt:lpstr>打印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小嘴特能叭叭</dc:creator>
  <cp:lastModifiedBy>黎淑敏13</cp:lastModifiedBy>
  <dcterms:created xsi:type="dcterms:W3CDTF">2023-02-22T06:22:00Z</dcterms:created>
  <cp:lastPrinted>2024-08-19T05:49:00Z</cp:lastPrinted>
  <dcterms:modified xsi:type="dcterms:W3CDTF">2026-07-01T03:29:47Z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41300B9B651A42E0986F776247C105F5_13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